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Unit_Programme" sheetId="3" state="visible" r:id="rId5"/>
    <sheet name="Revenue" sheetId="4" state="visible" r:id="rId6"/>
    <sheet name="Dev_Cost" sheetId="5" state="visible" r:id="rId7"/>
    <sheet name="PL_Summary" sheetId="6" state="visible" r:id="rId8"/>
    <sheet name="Cash_Flow" sheetId="7" state="visible" r:id="rId9"/>
    <sheet name="Investor_Returns" sheetId="8" state="visible" r:id="rId10"/>
    <sheet name="Unit_Track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<sst xmlns="http://schemas.openxmlformats.org/spreadsheetml/2006/main" count="818" uniqueCount="390">
  <si>
    <t xml:space="preserve">AMERICAN DREAM APARTMENTS</t>
  </si>
  <si>
    <t xml:space="preserve">Financial Model — Phase 1 Pre-Launch</t>
  </si>
  <si>
    <t xml:space="preserve">Plot MN/I/1691 · Nyali, Mombasa · Sierra USA Homes Ltd.</t>
  </si>
  <si>
    <t xml:space="preserve">Model Date</t>
  </si>
  <si>
    <t xml:space="preserve">2026-04-11</t>
  </si>
  <si>
    <t xml:space="preserve">Model Version</t>
  </si>
  <si>
    <t xml:space="preserve">v2.0 (88-unit model)</t>
  </si>
  <si>
    <t xml:space="preserve">Prepared By</t>
  </si>
  <si>
    <t xml:space="preserve">Claude Sonnet 4.6 (AI) / Sierra USA Homes Ltd.</t>
  </si>
  <si>
    <t xml:space="preserve">Status</t>
  </si>
  <si>
    <t xml:space="preserve">Working Draft — For Internal Review</t>
  </si>
  <si>
    <t xml:space="preserve">Total Units</t>
  </si>
  <si>
    <t xml:space="preserve">88</t>
  </si>
  <si>
    <t xml:space="preserve">Towers</t>
  </si>
  <si>
    <t xml:space="preserve">3  (Lincoln · Washington · Benjamin-Franklin)</t>
  </si>
  <si>
    <t xml:space="preserve">Location</t>
  </si>
  <si>
    <t xml:space="preserve">Nyali, Mombasa County, Kenya</t>
  </si>
  <si>
    <t xml:space="preserve">Target Completion</t>
  </si>
  <si>
    <t xml:space="preserve">August 2029</t>
  </si>
  <si>
    <t xml:space="preserve">Hard Costs (KES)</t>
  </si>
  <si>
    <t xml:space="preserve">660,000,000</t>
  </si>
  <si>
    <t xml:space="preserve">Total Dev Cost (KES)</t>
  </si>
  <si>
    <t xml:space="preserve">784,082,921</t>
  </si>
  <si>
    <t xml:space="preserve">Total Revenue (KES)</t>
  </si>
  <si>
    <t xml:space="preserve">1,500,000,000</t>
  </si>
  <si>
    <t xml:space="preserve">Net Profit (KES)</t>
  </si>
  <si>
    <t xml:space="preserve">715,917,079</t>
  </si>
  <si>
    <t xml:space="preserve">ROI</t>
  </si>
  <si>
    <t xml:space="preserve">91.3%</t>
  </si>
  <si>
    <t xml:space="preserve">Sheet Index</t>
  </si>
  <si>
    <t xml:space="preserve">Assumptions</t>
  </si>
  <si>
    <t xml:space="preserve">All model inputs — prices, costs, allocations, timing</t>
  </si>
  <si>
    <t xml:space="preserve">Unit_Programme</t>
  </si>
  <si>
    <t xml:space="preserve">88-unit allocation: landowner / off-plan / on-market</t>
  </si>
  <si>
    <t xml:space="preserve">Revenue</t>
  </si>
  <si>
    <t xml:space="preserve">Revenue model by unit type and sales channel</t>
  </si>
  <si>
    <t xml:space="preserve">Dev_Cost</t>
  </si>
  <si>
    <t xml:space="preserve">Hard costs + itemised soft costs + total dev cost</t>
  </si>
  <si>
    <t xml:space="preserve">PL_Summary</t>
  </si>
  <si>
    <t xml:space="preserve">P&amp;L summary — revenue, cost, profit, ROI</t>
  </si>
  <si>
    <t xml:space="preserve">Cash_Flow</t>
  </si>
  <si>
    <t xml:space="preserve">Quarterly cash flow Q3-2026 to Q3-2029</t>
  </si>
  <si>
    <t xml:space="preserve">Investor_Returns</t>
  </si>
  <si>
    <t xml:space="preserve">Investor return scenarios</t>
  </si>
  <si>
    <t xml:space="preserve">Unit_Tracker</t>
  </si>
  <si>
    <t xml:space="preserve">Unit-by-unit sales tracker (all 88 units)</t>
  </si>
  <si>
    <t xml:space="preserve">ASSUMPTIONS</t>
  </si>
  <si>
    <t xml:space="preserve">A. UNIT PRICING (KES)</t>
  </si>
  <si>
    <t xml:space="preserve">Parameter</t>
  </si>
  <si>
    <t xml:space="preserve">Value</t>
  </si>
  <si>
    <t xml:space="preserve">Notes</t>
  </si>
  <si>
    <t xml:space="preserve">1BR Off-Plan Price (KES)</t>
  </si>
  <si>
    <t xml:space="preserve">Benjamin-Franklin Tower – Franklin Wing</t>
  </si>
  <si>
    <t xml:space="preserve">1BR On-Market Price (KES)</t>
  </si>
  <si>
    <t xml:space="preserve">966.44 sqft / 89.8 sqm</t>
  </si>
  <si>
    <t xml:space="preserve">2BR Off-Plan Price (KES)</t>
  </si>
  <si>
    <t xml:space="preserve">Benjamin-Franklin Tower – Benjamin Wing</t>
  </si>
  <si>
    <t xml:space="preserve">2BR On-Market Price (KES)</t>
  </si>
  <si>
    <t xml:space="preserve">1,311.18 sqft / 121.8 sqm</t>
  </si>
  <si>
    <t xml:space="preserve">3BR Off-Plan Price (KES)</t>
  </si>
  <si>
    <t xml:space="preserve">Lincoln &amp; Washington Towers</t>
  </si>
  <si>
    <t xml:space="preserve">3BR On-Market Price (KES)</t>
  </si>
  <si>
    <t xml:space="preserve">2,617.58 sqft / 243.2 sqm</t>
  </si>
  <si>
    <t xml:space="preserve">B. UNIT COUNTS</t>
  </si>
  <si>
    <t xml:space="preserve">3 towers confirmed</t>
  </si>
  <si>
    <t xml:space="preserve">1BR Units (total)</t>
  </si>
  <si>
    <t xml:space="preserve">Franklin Wing — Benjamin-Franklin Tower</t>
  </si>
  <si>
    <t xml:space="preserve">2BR Units (total)</t>
  </si>
  <si>
    <t xml:space="preserve">Benjamin Wing — Benjamin-Franklin Tower</t>
  </si>
  <si>
    <t xml:space="preserve">3BR Units (total)</t>
  </si>
  <si>
    <t xml:space="preserve">Lincoln (22) + Washington (22)</t>
  </si>
  <si>
    <t xml:space="preserve">C. LAND DEAL — 22% EQUITY TO LANDOWNERS</t>
  </si>
  <si>
    <t xml:space="preserve">Landowner % allocation</t>
  </si>
  <si>
    <t xml:space="preserve">Equity deal — no cash land purchase</t>
  </si>
  <si>
    <t xml:space="preserve">Landowner units (full)</t>
  </si>
  <si>
    <t xml:space="preserve">Floor(88 × 22%) = 19</t>
  </si>
  <si>
    <t xml:space="preserve">Fractional residual (units)</t>
  </si>
  <si>
    <t xml:space="preserve">(88 × 22%) – 19 = 0.36</t>
  </si>
  <si>
    <t xml:space="preserve">Landowner 1BR units</t>
  </si>
  <si>
    <t xml:space="preserve">Proportional mix (25%)</t>
  </si>
  <si>
    <t xml:space="preserve">Landowner 2BR units</t>
  </si>
  <si>
    <t xml:space="preserve">Landowner 3BR units</t>
  </si>
  <si>
    <t xml:space="preserve">Proportional mix (50%)</t>
  </si>
  <si>
    <t xml:space="preserve">Fractional cash (KES)</t>
  </si>
  <si>
    <t xml:space="preserve">0.36 × 3BR off-plan rate (KES 23M)</t>
  </si>
  <si>
    <t xml:space="preserve">D. DEVELOPER SALES PROGRAMME</t>
  </si>
  <si>
    <t xml:space="preserve">Developer units total</t>
  </si>
  <si>
    <t xml:space="preserve">88 – 19 landowner = 69</t>
  </si>
  <si>
    <t xml:space="preserve">Off-plan 3BR units</t>
  </si>
  <si>
    <t xml:space="preserve">Priority: 3BR first</t>
  </si>
  <si>
    <t xml:space="preserve">Off-plan 2BR units</t>
  </si>
  <si>
    <t xml:space="preserve">Minimum off-plan 2BR</t>
  </si>
  <si>
    <t xml:space="preserve">Off-plan 1BR units</t>
  </si>
  <si>
    <t xml:space="preserve">1BR sold on-market only</t>
  </si>
  <si>
    <t xml:space="preserve">On-market 3BR units</t>
  </si>
  <si>
    <t xml:space="preserve">35 total dev 3BR – 20 off-plan</t>
  </si>
  <si>
    <t xml:space="preserve">On-market 2BR units</t>
  </si>
  <si>
    <t xml:space="preserve">17 total dev 2BR – 1 off-plan</t>
  </si>
  <si>
    <t xml:space="preserve">On-market 1BR units</t>
  </si>
  <si>
    <t xml:space="preserve">All 17 dev 1BR on-market</t>
  </si>
  <si>
    <t xml:space="preserve">E. CONSTRUCTION COSTS (HARD)</t>
  </si>
  <si>
    <t xml:space="preserve">1BR construction cost/unit (KES)</t>
  </si>
  <si>
    <t xml:space="preserve">Source: ROI Breakdown xlsx, 2026-03</t>
  </si>
  <si>
    <t xml:space="preserve">2BR construction cost/unit (KES)</t>
  </si>
  <si>
    <t xml:space="preserve">3BR construction cost/unit (KES)</t>
  </si>
  <si>
    <t xml:space="preserve">F. SOFT COSTS (FIXED)</t>
  </si>
  <si>
    <t xml:space="preserve">Cost Item</t>
  </si>
  <si>
    <t xml:space="preserve">KES</t>
  </si>
  <si>
    <t xml:space="preserve">Project Management Costs</t>
  </si>
  <si>
    <t xml:space="preserve">Marketing Costs</t>
  </si>
  <si>
    <t xml:space="preserve">Permit Cost</t>
  </si>
  <si>
    <t xml:space="preserve">Mombasa County building licence</t>
  </si>
  <si>
    <t xml:space="preserve">Lawyer Fees</t>
  </si>
  <si>
    <t xml:space="preserve">Land Search</t>
  </si>
  <si>
    <t xml:space="preserve">Architects, Engineers &amp; Consultants</t>
  </si>
  <si>
    <t xml:space="preserve">Ecotecture Ltd + structural/MEP</t>
  </si>
  <si>
    <t xml:space="preserve">G. VARIABLE SOFT COSTS</t>
  </si>
  <si>
    <t xml:space="preserve">Sales commission rate</t>
  </si>
  <si>
    <t xml:space="preserve">3% of total gross revenue</t>
  </si>
  <si>
    <t xml:space="preserve">H. CONSTRUCTION TIMELINE</t>
  </si>
  <si>
    <t xml:space="preserve">Milestone</t>
  </si>
  <si>
    <t xml:space="preserve">Target</t>
  </si>
  <si>
    <t xml:space="preserve">Construction Start</t>
  </si>
  <si>
    <t xml:space="preserve">Q3 2026</t>
  </si>
  <si>
    <t xml:space="preserve">On permit receipt</t>
  </si>
  <si>
    <t xml:space="preserve">Foundations complete</t>
  </si>
  <si>
    <t xml:space="preserve">Q4 2026</t>
  </si>
  <si>
    <t xml:space="preserve">Ground to Level 3</t>
  </si>
  <si>
    <t xml:space="preserve">Q2 2027</t>
  </si>
  <si>
    <t xml:space="preserve">Level 4 to Level 7</t>
  </si>
  <si>
    <t xml:space="preserve">Q4 2027</t>
  </si>
  <si>
    <t xml:space="preserve">Level 8 to 11 (topped out)</t>
  </si>
  <si>
    <t xml:space="preserve">Q2 2028</t>
  </si>
  <si>
    <t xml:space="preserve">MEP complete</t>
  </si>
  <si>
    <t xml:space="preserve">Q4 2028</t>
  </si>
  <si>
    <t xml:space="preserve">Internal finishes complete</t>
  </si>
  <si>
    <t xml:space="preserve">Q1 2029</t>
  </si>
  <si>
    <t xml:space="preserve">Snagging &amp; NCA certification</t>
  </si>
  <si>
    <t xml:space="preserve">Q2-Q3 2029</t>
  </si>
  <si>
    <t xml:space="preserve">Practical Completion</t>
  </si>
  <si>
    <t xml:space="preserve">Aug 2029</t>
  </si>
  <si>
    <t xml:space="preserve">Target handover</t>
  </si>
  <si>
    <t xml:space="preserve">UNIT PROGRAMME — 88 UNITS</t>
  </si>
  <si>
    <t xml:space="preserve">UNIT ALLOCATION SUMMARY</t>
  </si>
  <si>
    <t xml:space="preserve">Category</t>
  </si>
  <si>
    <t xml:space="preserve">1BR</t>
  </si>
  <si>
    <t xml:space="preserve">2BR</t>
  </si>
  <si>
    <t xml:space="preserve">3BR</t>
  </si>
  <si>
    <t xml:space="preserve">Total Value (KES)</t>
  </si>
  <si>
    <t xml:space="preserve">Landowner Units (22%)</t>
  </si>
  <si>
    <t xml:space="preserve">Equity deal — no cash</t>
  </si>
  <si>
    <t xml:space="preserve">Off-Plan Sales (Developer)</t>
  </si>
  <si>
    <t xml:space="preserve">~60% op. budget coverage</t>
  </si>
  <si>
    <t xml:space="preserve">On-Market Sales (Developer)</t>
  </si>
  <si>
    <t xml:space="preserve">Balance at completion</t>
  </si>
  <si>
    <t xml:space="preserve">Fractional Residual (Cash — 0.36 units)</t>
  </si>
  <si>
    <t xml:space="preserve">(0.36)</t>
  </si>
  <si>
    <t xml:space="preserve">0.36 × KES 23M off-plan rate</t>
  </si>
  <si>
    <t xml:space="preserve">TOTAL</t>
  </si>
  <si>
    <t xml:space="preserve">DEVELOPER UNITS DETAIL</t>
  </si>
  <si>
    <t xml:space="preserve">Channel</t>
  </si>
  <si>
    <t xml:space="preserve">Total</t>
  </si>
  <si>
    <t xml:space="preserve">Revenue (KES)</t>
  </si>
  <si>
    <t xml:space="preserve">Price Basis</t>
  </si>
  <si>
    <t xml:space="preserve">Off-Plan</t>
  </si>
  <si>
    <t xml:space="preserve">On-Market</t>
  </si>
  <si>
    <t xml:space="preserve">Developer Total</t>
  </si>
  <si>
    <t xml:space="preserve">TOWER BREAKDOWN</t>
  </si>
  <si>
    <t xml:space="preserve">Tower</t>
  </si>
  <si>
    <t xml:space="preserve">Unit Type</t>
  </si>
  <si>
    <t xml:space="preserve">Size (sqft)</t>
  </si>
  <si>
    <t xml:space="preserve">Size (sqm)</t>
  </si>
  <si>
    <t xml:space="preserve">Floor Config</t>
  </si>
  <si>
    <t xml:space="preserve">Lincoln Tower</t>
  </si>
  <si>
    <t xml:space="preserve">3 Bedroom</t>
  </si>
  <si>
    <t xml:space="preserve">2,617.58</t>
  </si>
  <si>
    <t xml:space="preserve">243.2</t>
  </si>
  <si>
    <t xml:space="preserve">11 floors × 2 units/floor</t>
  </si>
  <si>
    <t xml:space="preserve">Washington Tower</t>
  </si>
  <si>
    <t xml:space="preserve">BF Tower — Benjamin Wing</t>
  </si>
  <si>
    <t xml:space="preserve">2 Bedroom</t>
  </si>
  <si>
    <t xml:space="preserve">1,311.18</t>
  </si>
  <si>
    <t xml:space="preserve">121.8</t>
  </si>
  <si>
    <t xml:space="preserve">BF Tower — Franklin Wing</t>
  </si>
  <si>
    <t xml:space="preserve">1 Bedroom</t>
  </si>
  <si>
    <t xml:space="preserve">966.44</t>
  </si>
  <si>
    <t xml:space="preserve">89.8</t>
  </si>
  <si>
    <t xml:space="preserve">REVENUE MODEL</t>
  </si>
  <si>
    <t xml:space="preserve">OFF-PLAN REVENUE (Developer Units)</t>
  </si>
  <si>
    <t xml:space="preserve">Units</t>
  </si>
  <si>
    <t xml:space="preserve">Price/Unit (KES)</t>
  </si>
  <si>
    <t xml:space="preserve">Off-Plan Sub-Total</t>
  </si>
  <si>
    <t xml:space="preserve">ON-MARKET REVENUE (Developer Units)</t>
  </si>
  <si>
    <t xml:space="preserve">On-Market Sub-Total</t>
  </si>
  <si>
    <t xml:space="preserve">Fractional Residual Cash (Landowner)</t>
  </si>
  <si>
    <t xml:space="preserve">TOTAL GROSS REVENUE</t>
  </si>
  <si>
    <t xml:space="preserve">REVENUE METRICS</t>
  </si>
  <si>
    <t xml:space="preserve">Off-Plan Revenue</t>
  </si>
  <si>
    <t xml:space="preserve">On-Market Revenue</t>
  </si>
  <si>
    <t xml:space="preserve">Off-Plan as % of Total Revenue</t>
  </si>
  <si>
    <t xml:space="preserve">Revenue per Developer Unit (avg)</t>
  </si>
  <si>
    <t xml:space="preserve">Off-Plan Units as % of Developer Units</t>
  </si>
  <si>
    <t xml:space="preserve">DEVELOPMENT COST</t>
  </si>
  <si>
    <t xml:space="preserve">HARD COSTS (CONSTRUCTION)</t>
  </si>
  <si>
    <t xml:space="preserve">Cost/Unit (KES)</t>
  </si>
  <si>
    <t xml:space="preserve">Total (KES)</t>
  </si>
  <si>
    <t xml:space="preserve">% of Hard Costs</t>
  </si>
  <si>
    <t xml:space="preserve">Hard Costs Total</t>
  </si>
  <si>
    <t xml:space="preserve">SOFT COSTS (FIXED)</t>
  </si>
  <si>
    <t xml:space="preserve">Amount (KES)</t>
  </si>
  <si>
    <t xml:space="preserve">% of Total Dev Cost</t>
  </si>
  <si>
    <t xml:space="preserve">Fixed Soft Costs Total</t>
  </si>
  <si>
    <t xml:space="preserve">SOFT COSTS (VARIABLE)</t>
  </si>
  <si>
    <t xml:space="preserve">Basis</t>
  </si>
  <si>
    <t xml:space="preserve">Sales Commission (3% of Revenue)</t>
  </si>
  <si>
    <t xml:space="preserve">3% × Total Revenue</t>
  </si>
  <si>
    <t xml:space="preserve">Variable Soft Costs Total</t>
  </si>
  <si>
    <t xml:space="preserve">TOTAL DEVELOPMENT COST</t>
  </si>
  <si>
    <t xml:space="preserve">COST METRICS</t>
  </si>
  <si>
    <t xml:space="preserve">Hard cost per unit (avg)</t>
  </si>
  <si>
    <t xml:space="preserve">Hard cost per sqft (blended)</t>
  </si>
  <si>
    <t xml:space="preserve">Total dev cost per unit (avg)</t>
  </si>
  <si>
    <t xml:space="preserve">Hard cost as % of total dev cost</t>
  </si>
  <si>
    <t xml:space="preserve">Soft cost as % of total dev cost</t>
  </si>
  <si>
    <t xml:space="preserve">PROFIT &amp; LOSS SUMMARY</t>
  </si>
  <si>
    <t xml:space="preserve">American Dream Apartments — 88 Units</t>
  </si>
  <si>
    <t xml:space="preserve">INCOME</t>
  </si>
  <si>
    <t xml:space="preserve">Off-Plan Sales Revenue</t>
  </si>
  <si>
    <t xml:space="preserve">On-Market Sales Revenue</t>
  </si>
  <si>
    <t xml:space="preserve">Fractional Residual Cash</t>
  </si>
  <si>
    <t xml:space="preserve">Gross Revenue</t>
  </si>
  <si>
    <t xml:space="preserve">COSTS</t>
  </si>
  <si>
    <t xml:space="preserve">Hard Construction Costs</t>
  </si>
  <si>
    <t xml:space="preserve">Fixed Soft Costs</t>
  </si>
  <si>
    <t xml:space="preserve">Sales Commission (Variable)</t>
  </si>
  <si>
    <t xml:space="preserve">Total Development Cost</t>
  </si>
  <si>
    <t xml:space="preserve">NET DEVELOPER PROFIT</t>
  </si>
  <si>
    <t xml:space="preserve">RETURN METRICS</t>
  </si>
  <si>
    <t xml:space="preserve">Developer ROI (Net Profit / Dev Cost)</t>
  </si>
  <si>
    <t xml:space="preserve">Gross Margin (Net Profit / Revenue)</t>
  </si>
  <si>
    <t xml:space="preserve">Revenue / Development Cost (multiple)</t>
  </si>
  <si>
    <t xml:space="preserve">Net Profit per Developer Unit (avg)</t>
  </si>
  <si>
    <t xml:space="preserve">Net Profit per Total Unit (avg)</t>
  </si>
  <si>
    <t xml:space="preserve">Off-Plan Revenue (KES)</t>
  </si>
  <si>
    <t xml:space="preserve">Off-Plan % of Operating Budget</t>
  </si>
  <si>
    <t xml:space="preserve">QUARTERLY CASH FLOW</t>
  </si>
  <si>
    <t xml:space="preserve">LINE ITEM</t>
  </si>
  <si>
    <t xml:space="preserve">Q3-26</t>
  </si>
  <si>
    <t xml:space="preserve">Q4-26</t>
  </si>
  <si>
    <t xml:space="preserve">Q1-27</t>
  </si>
  <si>
    <t xml:space="preserve">Q2-27</t>
  </si>
  <si>
    <t xml:space="preserve">Q3-27</t>
  </si>
  <si>
    <t xml:space="preserve">Q4-27</t>
  </si>
  <si>
    <t xml:space="preserve">Q1-28</t>
  </si>
  <si>
    <t xml:space="preserve">Q2-28</t>
  </si>
  <si>
    <t xml:space="preserve">Q3-28</t>
  </si>
  <si>
    <t xml:space="preserve">Q4-28</t>
  </si>
  <si>
    <t xml:space="preserve">Q1-29</t>
  </si>
  <si>
    <t xml:space="preserve">Q2-29</t>
  </si>
  <si>
    <t xml:space="preserve">Q3-29</t>
  </si>
  <si>
    <t xml:space="preserve">INFLOWS</t>
  </si>
  <si>
    <t xml:space="preserve">Off-Plan Receipts (50% deposit)</t>
  </si>
  <si>
    <t xml:space="preserve">Off-Plan Receipts (50% balance)</t>
  </si>
  <si>
    <t xml:space="preserve">On-Market Receipts</t>
  </si>
  <si>
    <t xml:space="preserve">Fractional Cash (Landowner)</t>
  </si>
  <si>
    <t xml:space="preserve">Total Inflows</t>
  </si>
  <si>
    <t xml:space="preserve">OUTFLOWS</t>
  </si>
  <si>
    <t xml:space="preserve">Sales Commission (3%)</t>
  </si>
  <si>
    <t xml:space="preserve">Total Outflows</t>
  </si>
  <si>
    <t xml:space="preserve">NET CASH FLOW (QUARTERLY)</t>
  </si>
  <si>
    <t xml:space="preserve">CUMULATIVE CASH FLOW</t>
  </si>
  <si>
    <t xml:space="preserve">INVESTOR RETURNS</t>
  </si>
  <si>
    <t xml:space="preserve">Scenario Analysis — Off-Plan Buyer</t>
  </si>
  <si>
    <t xml:space="preserve">OFF-PLAN BUYER RETURN (Resale at Completion)</t>
  </si>
  <si>
    <t xml:space="preserve">Off-Plan Price (KES)</t>
  </si>
  <si>
    <t xml:space="preserve">On-Market Price (KES)</t>
  </si>
  <si>
    <t xml:space="preserve">Capital Gain (KES)</t>
  </si>
  <si>
    <t xml:space="preserve">ROI on Investment</t>
  </si>
  <si>
    <t xml:space="preserve">Appreciation %</t>
  </si>
  <si>
    <t xml:space="preserve">PROJECT INVESTOR SUMMARY</t>
  </si>
  <si>
    <t xml:space="preserve">Total Project Revenue (KES)</t>
  </si>
  <si>
    <t xml:space="preserve">Total Development Cost (KES)</t>
  </si>
  <si>
    <t xml:space="preserve">Net Developer Profit (KES)</t>
  </si>
  <si>
    <t xml:space="preserve">Developer ROI</t>
  </si>
  <si>
    <t xml:space="preserve">Gross Margin</t>
  </si>
  <si>
    <t xml:space="preserve">Revenue Multiple (Rev/Dev Cost)</t>
  </si>
  <si>
    <t xml:space="preserve">Project Duration</t>
  </si>
  <si>
    <t xml:space="preserve">~36 months (Q3-2026 to Q3-2029)</t>
  </si>
  <si>
    <t xml:space="preserve">Off-Plan Discount to On-Market (3BR)</t>
  </si>
  <si>
    <t xml:space="preserve">Off-Plan Discount to On-Market (2BR)</t>
  </si>
  <si>
    <t xml:space="preserve">Off-Plan Discount to On-Market (1BR)</t>
  </si>
  <si>
    <t xml:space="preserve">UNIT TRACKER — ALL 88 UNITS</t>
  </si>
  <si>
    <t xml:space="preserve">Unit ID</t>
  </si>
  <si>
    <t xml:space="preserve">Type</t>
  </si>
  <si>
    <t xml:space="preserve">Floor</t>
  </si>
  <si>
    <t xml:space="preserve">Allocation</t>
  </si>
  <si>
    <t xml:space="preserve">List Price (KES)</t>
  </si>
  <si>
    <t xml:space="preserve">Buyer / Notes</t>
  </si>
  <si>
    <t xml:space="preserve">LC.1-01</t>
  </si>
  <si>
    <t xml:space="preserve">Landowner</t>
  </si>
  <si>
    <t xml:space="preserve">Landowner Reserved</t>
  </si>
  <si>
    <t xml:space="preserve">LC.1-02</t>
  </si>
  <si>
    <t xml:space="preserve">LC.2-03</t>
  </si>
  <si>
    <t xml:space="preserve">LC.2-04</t>
  </si>
  <si>
    <t xml:space="preserve">LC.3-05</t>
  </si>
  <si>
    <t xml:space="preserve">LC.3-06</t>
  </si>
  <si>
    <t xml:space="preserve">LC.4-07</t>
  </si>
  <si>
    <t xml:space="preserve">LC.4-08</t>
  </si>
  <si>
    <t xml:space="preserve">LC.5-09</t>
  </si>
  <si>
    <t xml:space="preserve">LC.5-10</t>
  </si>
  <si>
    <t xml:space="preserve">Available</t>
  </si>
  <si>
    <t xml:space="preserve">LC.6-11</t>
  </si>
  <si>
    <t xml:space="preserve">LC.6-12</t>
  </si>
  <si>
    <t xml:space="preserve">LC.7-13</t>
  </si>
  <si>
    <t xml:space="preserve">LC.7-14</t>
  </si>
  <si>
    <t xml:space="preserve">LC.8-15</t>
  </si>
  <si>
    <t xml:space="preserve">LC.8-16</t>
  </si>
  <si>
    <t xml:space="preserve">LC.9-17</t>
  </si>
  <si>
    <t xml:space="preserve">LC.9-18</t>
  </si>
  <si>
    <t xml:space="preserve">LC.10-19</t>
  </si>
  <si>
    <t xml:space="preserve">LC.10-20</t>
  </si>
  <si>
    <t xml:space="preserve">LC.11-21</t>
  </si>
  <si>
    <t xml:space="preserve">LC.11-22</t>
  </si>
  <si>
    <t xml:space="preserve">WA.1-01</t>
  </si>
  <si>
    <t xml:space="preserve">WA.1-02</t>
  </si>
  <si>
    <t xml:space="preserve">WA.2-03</t>
  </si>
  <si>
    <t xml:space="preserve">WA.2-04</t>
  </si>
  <si>
    <t xml:space="preserve">WA.3-05</t>
  </si>
  <si>
    <t xml:space="preserve">WA.3-06</t>
  </si>
  <si>
    <t xml:space="preserve">WA.4-07</t>
  </si>
  <si>
    <t xml:space="preserve">WA.4-08</t>
  </si>
  <si>
    <t xml:space="preserve">WA.5-09</t>
  </si>
  <si>
    <t xml:space="preserve">WA.5-10</t>
  </si>
  <si>
    <t xml:space="preserve">WA.6-11</t>
  </si>
  <si>
    <t xml:space="preserve">WA.6-12</t>
  </si>
  <si>
    <t xml:space="preserve">WA.7-13</t>
  </si>
  <si>
    <t xml:space="preserve">WA.7-14</t>
  </si>
  <si>
    <t xml:space="preserve">WA.8-15</t>
  </si>
  <si>
    <t xml:space="preserve">WA.8-16</t>
  </si>
  <si>
    <t xml:space="preserve">WA.9-17</t>
  </si>
  <si>
    <t xml:space="preserve">WA.9-18</t>
  </si>
  <si>
    <t xml:space="preserve">WA.10-19</t>
  </si>
  <si>
    <t xml:space="preserve">WA.10-20</t>
  </si>
  <si>
    <t xml:space="preserve">WA.11-21</t>
  </si>
  <si>
    <t xml:space="preserve">WA.11-22</t>
  </si>
  <si>
    <t xml:space="preserve">BNJ.1-01</t>
  </si>
  <si>
    <t xml:space="preserve">BNJ.1-02</t>
  </si>
  <si>
    <t xml:space="preserve">BNJ.2-03</t>
  </si>
  <si>
    <t xml:space="preserve">BNJ.2-04</t>
  </si>
  <si>
    <t xml:space="preserve">BNJ.3-05</t>
  </si>
  <si>
    <t xml:space="preserve">BNJ.3-06</t>
  </si>
  <si>
    <t xml:space="preserve">BNJ.4-07</t>
  </si>
  <si>
    <t xml:space="preserve">BNJ.4-08</t>
  </si>
  <si>
    <t xml:space="preserve">BNJ.5-09</t>
  </si>
  <si>
    <t xml:space="preserve">BNJ.5-10</t>
  </si>
  <si>
    <t xml:space="preserve">BNJ.6-11</t>
  </si>
  <si>
    <t xml:space="preserve">BNJ.6-12</t>
  </si>
  <si>
    <t xml:space="preserve">BNJ.7-13</t>
  </si>
  <si>
    <t xml:space="preserve">BNJ.7-14</t>
  </si>
  <si>
    <t xml:space="preserve">BNJ.8-15</t>
  </si>
  <si>
    <t xml:space="preserve">BNJ.8-16</t>
  </si>
  <si>
    <t xml:space="preserve">BNJ.9-17</t>
  </si>
  <si>
    <t xml:space="preserve">BNJ.9-18</t>
  </si>
  <si>
    <t xml:space="preserve">BNJ.10-19</t>
  </si>
  <si>
    <t xml:space="preserve">BNJ.10-20</t>
  </si>
  <si>
    <t xml:space="preserve">BNJ.11-21</t>
  </si>
  <si>
    <t xml:space="preserve">BNJ.11-22</t>
  </si>
  <si>
    <t xml:space="preserve">FK.1-01</t>
  </si>
  <si>
    <t xml:space="preserve">FK.1-02</t>
  </si>
  <si>
    <t xml:space="preserve">FK.2-03</t>
  </si>
  <si>
    <t xml:space="preserve">FK.2-04</t>
  </si>
  <si>
    <t xml:space="preserve">FK.3-05</t>
  </si>
  <si>
    <t xml:space="preserve">FK.3-06</t>
  </si>
  <si>
    <t xml:space="preserve">FK.4-07</t>
  </si>
  <si>
    <t xml:space="preserve">FK.4-08</t>
  </si>
  <si>
    <t xml:space="preserve">FK.5-09</t>
  </si>
  <si>
    <t xml:space="preserve">FK.5-10</t>
  </si>
  <si>
    <t xml:space="preserve">FK.6-11</t>
  </si>
  <si>
    <t xml:space="preserve">FK.6-12</t>
  </si>
  <si>
    <t xml:space="preserve">FK.7-13</t>
  </si>
  <si>
    <t xml:space="preserve">FK.7-14</t>
  </si>
  <si>
    <t xml:space="preserve">FK.8-15</t>
  </si>
  <si>
    <t xml:space="preserve">FK.8-16</t>
  </si>
  <si>
    <t xml:space="preserve">FK.9-17</t>
  </si>
  <si>
    <t xml:space="preserve">FK.9-18</t>
  </si>
  <si>
    <t xml:space="preserve">FK.10-19</t>
  </si>
  <si>
    <t xml:space="preserve">FK.10-20</t>
  </si>
  <si>
    <t xml:space="preserve">FK.11-21</t>
  </si>
  <si>
    <t xml:space="preserve">FK.11-22</t>
  </si>
  <si>
    <t xml:space="preserve">ALLOCATION SUMMARY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</si>
</sst>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"/>
    <numFmt numFmtId="168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D4AF1A"/>
      <name val="Arial"/>
      <family val="0"/>
      <charset val="1"/>
    </font>
    <font>
      <sz val="13"/>
      <color rgb="FFFFFFFF"/>
      <name val="Arial"/>
      <family val="0"/>
      <charset val="1"/>
    </font>
    <font>
      <sz val="10"/>
      <color rgb="FFAABBD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D235C"/>
      <name val="Arial"/>
      <family val="0"/>
      <charset val="1"/>
    </font>
    <font>
      <b val="true"/>
      <sz val="13"/>
      <color rgb="FF1D23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D235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D235C"/>
        <bgColor rgb="FF2D3580"/>
      </patternFill>
    </fill>
    <fill>
      <patternFill patternType="solid">
        <fgColor rgb="FFD4AF1A"/>
        <bgColor rgb="FFFFCC00"/>
      </patternFill>
    </fill>
    <fill>
      <patternFill patternType="solid">
        <fgColor rgb="FFEEF0F8"/>
        <bgColor rgb="FFDDEEFF"/>
      </patternFill>
    </fill>
    <fill>
      <patternFill patternType="solid">
        <fgColor rgb="FFFFFFFF"/>
        <bgColor rgb="FFEEF0F8"/>
      </patternFill>
    </fill>
    <fill>
      <patternFill patternType="solid">
        <fgColor rgb="FF2D3580"/>
        <bgColor rgb="FF1D235C"/>
      </patternFill>
    </fill>
    <fill>
      <patternFill patternType="solid">
        <fgColor rgb="FFFFE699"/>
        <bgColor rgb="FFFFCC99"/>
      </patternFill>
    </fill>
    <fill>
      <patternFill patternType="solid">
        <fgColor rgb="FFC6EFCE"/>
        <bgColor rgb="FFDDEEFF"/>
      </patternFill>
    </fill>
    <fill>
      <patternFill patternType="solid">
        <fgColor rgb="FFDDEEFF"/>
        <bgColor rgb="FFEEF0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D"/>
      <rgbColor rgb="FF888888"/>
      <rgbColor rgb="FF9999FF"/>
      <rgbColor rgb="FF993366"/>
      <rgbColor rgb="FFEEF0F8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1A"/>
      <rgbColor rgb="FFFF6600"/>
      <rgbColor rgb="FF666699"/>
      <rgbColor rgb="FF969696"/>
      <rgbColor rgb="FF1D235C"/>
      <rgbColor rgb="FF339966"/>
      <rgbColor rgb="FF003300"/>
      <rgbColor rgb="FF333300"/>
      <rgbColor rgb="FF993300"/>
      <rgbColor rgb="FF993366"/>
      <rgbColor rgb="FF2D35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7.5" hidden="false" customHeight="true" outlineLevel="0" collapsed="false"/>
    <row r="2" customFormat="false" ht="21.75" hidden="false" customHeight="true" outlineLevel="0" collapsed="false">
      <c r="A2" s="1"/>
      <c r="B2" s="1"/>
      <c r="C2" s="1"/>
      <c r="D2" s="1"/>
      <c r="E2" s="1"/>
    </row>
    <row r="3" customFormat="false" ht="21.75" hidden="false" customHeight="true" outlineLevel="0" collapsed="false">
      <c r="A3" s="1"/>
      <c r="B3" s="2" t="s">
        <v>0</v>
      </c>
      <c r="C3" s="2"/>
      <c r="D3" s="2"/>
      <c r="E3" s="1"/>
    </row>
    <row r="4" customFormat="false" ht="21.75" hidden="false" customHeight="true" outlineLevel="0" collapsed="false">
      <c r="A4" s="1"/>
      <c r="B4" s="3" t="s">
        <v>1</v>
      </c>
      <c r="C4" s="3"/>
      <c r="D4" s="3"/>
      <c r="E4" s="1"/>
    </row>
    <row r="5" customFormat="false" ht="21.75" hidden="false" customHeight="true" outlineLevel="0" collapsed="false">
      <c r="A5" s="1"/>
      <c r="B5" s="4" t="s">
        <v>2</v>
      </c>
      <c r="C5" s="4"/>
      <c r="D5" s="4"/>
      <c r="E5" s="1"/>
    </row>
    <row r="6" customFormat="false" ht="21.75" hidden="false" customHeight="true" outlineLevel="0" collapsed="false">
      <c r="A6" s="1"/>
      <c r="B6" s="1"/>
      <c r="C6" s="1"/>
      <c r="D6" s="1"/>
      <c r="E6" s="1"/>
    </row>
    <row r="7" customFormat="false" ht="21.75" hidden="false" customHeight="true" outlineLevel="0" collapsed="false">
      <c r="A7" s="1"/>
      <c r="B7" s="1"/>
      <c r="C7" s="1"/>
      <c r="D7" s="1"/>
      <c r="E7" s="1"/>
    </row>
    <row r="8" customFormat="false" ht="3" hidden="false" customHeight="true" outlineLevel="0" collapsed="false">
      <c r="A8" s="5"/>
      <c r="B8" s="5"/>
      <c r="C8" s="5"/>
      <c r="D8" s="5"/>
      <c r="E8" s="5"/>
    </row>
    <row r="9" customFormat="false" ht="21.75" hidden="false" customHeight="true" outlineLevel="0" collapsed="false">
      <c r="A9" s="1"/>
      <c r="B9" s="1"/>
      <c r="C9" s="1"/>
      <c r="D9" s="1"/>
      <c r="E9" s="1"/>
    </row>
    <row r="10" customFormat="false" ht="18" hidden="false" customHeight="true" outlineLevel="0" collapsed="false">
      <c r="A10" s="1"/>
      <c r="B10" s="6" t="s">
        <v>3</v>
      </c>
      <c r="C10" s="7" t="s">
        <v>4</v>
      </c>
      <c r="D10" s="1"/>
      <c r="E10" s="1"/>
    </row>
    <row r="11" customFormat="false" ht="18" hidden="false" customHeight="true" outlineLevel="0" collapsed="false">
      <c r="A11" s="1"/>
      <c r="B11" s="6" t="s">
        <v>5</v>
      </c>
      <c r="C11" s="7" t="s">
        <v>6</v>
      </c>
      <c r="D11" s="1"/>
      <c r="E11" s="1"/>
    </row>
    <row r="12" customFormat="false" ht="18" hidden="false" customHeight="true" outlineLevel="0" collapsed="false">
      <c r="A12" s="1"/>
      <c r="B12" s="6" t="s">
        <v>7</v>
      </c>
      <c r="C12" s="7" t="s">
        <v>8</v>
      </c>
      <c r="D12" s="1"/>
      <c r="E12" s="1"/>
    </row>
    <row r="13" customFormat="false" ht="18" hidden="false" customHeight="true" outlineLevel="0" collapsed="false">
      <c r="B13" s="8" t="s">
        <v>9</v>
      </c>
      <c r="C13" s="9" t="s">
        <v>10</v>
      </c>
    </row>
    <row r="14" customFormat="false" ht="18" hidden="false" customHeight="true" outlineLevel="0" collapsed="false">
      <c r="B14" s="8" t="s">
        <v>11</v>
      </c>
      <c r="C14" s="9" t="s">
        <v>12</v>
      </c>
    </row>
    <row r="15" customFormat="false" ht="18" hidden="false" customHeight="true" outlineLevel="0" collapsed="false">
      <c r="B15" s="8" t="s">
        <v>13</v>
      </c>
      <c r="C15" s="9" t="s">
        <v>14</v>
      </c>
    </row>
    <row r="16" customFormat="false" ht="18" hidden="false" customHeight="true" outlineLevel="0" collapsed="false">
      <c r="B16" s="8" t="s">
        <v>15</v>
      </c>
      <c r="C16" s="9" t="s">
        <v>16</v>
      </c>
    </row>
    <row r="17" customFormat="false" ht="18" hidden="false" customHeight="true" outlineLevel="0" collapsed="false">
      <c r="B17" s="8" t="s">
        <v>17</v>
      </c>
      <c r="C17" s="9" t="s">
        <v>18</v>
      </c>
    </row>
    <row r="18" customFormat="false" ht="18" hidden="false" customHeight="true" outlineLevel="0" collapsed="false">
      <c r="B18" s="8" t="s">
        <v>19</v>
      </c>
      <c r="C18" s="9" t="s">
        <v>20</v>
      </c>
    </row>
    <row r="19" customFormat="false" ht="18" hidden="false" customHeight="true" outlineLevel="0" collapsed="false">
      <c r="B19" s="8" t="s">
        <v>21</v>
      </c>
      <c r="C19" s="9" t="s">
        <v>22</v>
      </c>
    </row>
    <row r="20" customFormat="false" ht="18" hidden="false" customHeight="true" outlineLevel="0" collapsed="false">
      <c r="B20" s="8" t="s">
        <v>23</v>
      </c>
      <c r="C20" s="9" t="s">
        <v>24</v>
      </c>
    </row>
    <row r="21" customFormat="false" ht="18" hidden="false" customHeight="true" outlineLevel="0" collapsed="false">
      <c r="B21" s="8" t="s">
        <v>25</v>
      </c>
      <c r="C21" s="9" t="s">
        <v>26</v>
      </c>
    </row>
    <row r="22" customFormat="false" ht="18" hidden="false" customHeight="true" outlineLevel="0" collapsed="false">
      <c r="B22" s="8" t="s">
        <v>27</v>
      </c>
      <c r="C22" s="9" t="s">
        <v>28</v>
      </c>
    </row>
    <row r="25" customFormat="false" ht="15" hidden="false" customHeight="false" outlineLevel="0" collapsed="false">
      <c r="B25" s="10" t="s">
        <v>29</v>
      </c>
    </row>
    <row r="26" customFormat="false" ht="15" hidden="false" customHeight="false" outlineLevel="0" collapsed="false">
      <c r="B26" s="10" t="s">
        <v>30</v>
      </c>
      <c r="C26" s="11" t="s">
        <v>31</v>
      </c>
    </row>
    <row r="27" customFormat="false" ht="15" hidden="false" customHeight="false" outlineLevel="0" collapsed="false">
      <c r="B27" s="10" t="s">
        <v>32</v>
      </c>
      <c r="C27" s="11" t="s">
        <v>33</v>
      </c>
    </row>
    <row r="28" customFormat="false" ht="15" hidden="false" customHeight="false" outlineLevel="0" collapsed="false">
      <c r="B28" s="10" t="s">
        <v>34</v>
      </c>
      <c r="C28" s="11" t="s">
        <v>35</v>
      </c>
    </row>
    <row r="29" customFormat="false" ht="15" hidden="false" customHeight="false" outlineLevel="0" collapsed="false">
      <c r="B29" s="10" t="s">
        <v>36</v>
      </c>
      <c r="C29" s="11" t="s">
        <v>37</v>
      </c>
    </row>
    <row r="30" customFormat="false" ht="15" hidden="false" customHeight="false" outlineLevel="0" collapsed="false">
      <c r="B30" s="10" t="s">
        <v>38</v>
      </c>
      <c r="C30" s="11" t="s">
        <v>39</v>
      </c>
    </row>
    <row r="31" customFormat="false" ht="15" hidden="false" customHeight="false" outlineLevel="0" collapsed="false">
      <c r="B31" s="10" t="s">
        <v>40</v>
      </c>
      <c r="C31" s="11" t="s">
        <v>41</v>
      </c>
    </row>
    <row r="32" customFormat="false" ht="15" hidden="false" customHeight="false" outlineLevel="0" collapsed="false">
      <c r="B32" s="10" t="s">
        <v>42</v>
      </c>
      <c r="C32" s="11" t="s">
        <v>43</v>
      </c>
    </row>
    <row r="33" customFormat="false" ht="15" hidden="false" customHeight="false" outlineLevel="0" collapsed="false">
      <c r="B33" s="10" t="s">
        <v>44</v>
      </c>
      <c r="C33" s="11" t="s">
        <v>45</v>
      </c>
    </row>
  </sheetData>
  <mergeCells count="3">
    <mergeCell ref="B3:D3"/>
    <mergeCell ref="B4:D4"/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32"/>
  </cols>
  <sheetData>
    <row r="2" customFormat="false" ht="16.15" hidden="false" customHeight="false" outlineLevel="0" collapsed="false">
      <c r="B2" s="12" t="s">
        <v>46</v>
      </c>
    </row>
    <row r="4" customFormat="false" ht="15" hidden="false" customHeight="false" outlineLevel="0" collapsed="false">
      <c r="A4" s="13" t="s">
        <v>47</v>
      </c>
      <c r="B4" s="13"/>
      <c r="C4" s="13"/>
      <c r="D4" s="13"/>
      <c r="E4" s="13"/>
    </row>
    <row r="5" customFormat="false" ht="15" hidden="false" customHeight="false" outlineLevel="0" collapsed="false">
      <c r="A5" s="14" t="s">
        <v>48</v>
      </c>
      <c r="B5" s="14" t="s">
        <v>49</v>
      </c>
      <c r="C5" s="14"/>
      <c r="D5" s="14"/>
      <c r="E5" s="14" t="s">
        <v>50</v>
      </c>
    </row>
    <row r="6" customFormat="false" ht="16.5" hidden="false" customHeight="true" outlineLevel="0" collapsed="false">
      <c r="B6" s="9" t="s">
        <v>51</v>
      </c>
      <c r="C6" s="15" t="n">
        <v>10000000</v>
      </c>
      <c r="E6" s="16" t="s">
        <v>52</v>
      </c>
    </row>
    <row r="7" customFormat="false" ht="16.5" hidden="false" customHeight="true" outlineLevel="0" collapsed="false">
      <c r="B7" s="9" t="s">
        <v>53</v>
      </c>
      <c r="C7" s="15" t="n">
        <v>13000000</v>
      </c>
      <c r="E7" s="16" t="s">
        <v>54</v>
      </c>
    </row>
    <row r="8" customFormat="false" ht="16.5" hidden="false" customHeight="true" outlineLevel="0" collapsed="false">
      <c r="B8" s="9" t="s">
        <v>55</v>
      </c>
      <c r="C8" s="15" t="n">
        <v>17000000</v>
      </c>
      <c r="E8" s="16" t="s">
        <v>56</v>
      </c>
    </row>
    <row r="9" customFormat="false" ht="16.5" hidden="false" customHeight="true" outlineLevel="0" collapsed="false">
      <c r="B9" s="9" t="s">
        <v>57</v>
      </c>
      <c r="C9" s="15" t="n">
        <v>22000000</v>
      </c>
      <c r="E9" s="16" t="s">
        <v>58</v>
      </c>
    </row>
    <row r="10" customFormat="false" ht="16.5" hidden="false" customHeight="true" outlineLevel="0" collapsed="false">
      <c r="B10" s="9" t="s">
        <v>59</v>
      </c>
      <c r="C10" s="15" t="n">
        <v>23000000</v>
      </c>
      <c r="E10" s="16" t="s">
        <v>60</v>
      </c>
    </row>
    <row r="11" customFormat="false" ht="16.5" hidden="false" customHeight="true" outlineLevel="0" collapsed="false">
      <c r="B11" s="9" t="s">
        <v>61</v>
      </c>
      <c r="C11" s="15" t="n">
        <v>30000000</v>
      </c>
      <c r="E11" s="16" t="s">
        <v>62</v>
      </c>
    </row>
    <row r="13" customFormat="false" ht="15" hidden="false" customHeight="false" outlineLevel="0" collapsed="false">
      <c r="A13" s="13" t="s">
        <v>63</v>
      </c>
      <c r="B13" s="13"/>
      <c r="C13" s="13"/>
      <c r="D13" s="13"/>
      <c r="E13" s="13"/>
    </row>
    <row r="14" customFormat="false" ht="15" hidden="false" customHeight="false" outlineLevel="0" collapsed="false">
      <c r="A14" s="14" t="s">
        <v>48</v>
      </c>
      <c r="B14" s="14" t="s">
        <v>49</v>
      </c>
      <c r="C14" s="14"/>
      <c r="D14" s="14"/>
      <c r="E14" s="14" t="s">
        <v>50</v>
      </c>
    </row>
    <row r="15" customFormat="false" ht="16.5" hidden="false" customHeight="true" outlineLevel="0" collapsed="false">
      <c r="B15" s="9" t="s">
        <v>11</v>
      </c>
      <c r="C15" s="15" t="n">
        <v>88</v>
      </c>
      <c r="E15" s="16" t="s">
        <v>64</v>
      </c>
    </row>
    <row r="16" customFormat="false" ht="16.5" hidden="false" customHeight="true" outlineLevel="0" collapsed="false">
      <c r="B16" s="9" t="s">
        <v>65</v>
      </c>
      <c r="C16" s="15" t="n">
        <v>22</v>
      </c>
      <c r="E16" s="16" t="s">
        <v>66</v>
      </c>
    </row>
    <row r="17" customFormat="false" ht="16.5" hidden="false" customHeight="true" outlineLevel="0" collapsed="false">
      <c r="B17" s="9" t="s">
        <v>67</v>
      </c>
      <c r="C17" s="15" t="n">
        <v>22</v>
      </c>
      <c r="E17" s="16" t="s">
        <v>68</v>
      </c>
    </row>
    <row r="18" customFormat="false" ht="16.5" hidden="false" customHeight="true" outlineLevel="0" collapsed="false">
      <c r="B18" s="9" t="s">
        <v>69</v>
      </c>
      <c r="C18" s="15" t="n">
        <v>44</v>
      </c>
      <c r="E18" s="16" t="s">
        <v>70</v>
      </c>
    </row>
    <row r="20" customFormat="false" ht="15" hidden="false" customHeight="false" outlineLevel="0" collapsed="false">
      <c r="A20" s="13" t="s">
        <v>71</v>
      </c>
      <c r="B20" s="13"/>
      <c r="C20" s="13"/>
      <c r="D20" s="13"/>
      <c r="E20" s="13"/>
    </row>
    <row r="21" customFormat="false" ht="15" hidden="false" customHeight="false" outlineLevel="0" collapsed="false">
      <c r="A21" s="14" t="s">
        <v>48</v>
      </c>
      <c r="B21" s="14" t="s">
        <v>49</v>
      </c>
      <c r="C21" s="14"/>
      <c r="D21" s="14"/>
      <c r="E21" s="14" t="s">
        <v>50</v>
      </c>
    </row>
    <row r="22" customFormat="false" ht="16.5" hidden="false" customHeight="true" outlineLevel="0" collapsed="false">
      <c r="B22" s="9" t="s">
        <v>72</v>
      </c>
      <c r="C22" s="17" t="n">
        <v>0.22</v>
      </c>
      <c r="E22" s="16" t="s">
        <v>73</v>
      </c>
    </row>
    <row r="23" customFormat="false" ht="16.5" hidden="false" customHeight="true" outlineLevel="0" collapsed="false">
      <c r="B23" s="9" t="s">
        <v>74</v>
      </c>
      <c r="C23" s="15" t="n">
        <v>19</v>
      </c>
      <c r="E23" s="16" t="s">
        <v>75</v>
      </c>
    </row>
    <row r="24" customFormat="false" ht="16.5" hidden="false" customHeight="true" outlineLevel="0" collapsed="false">
      <c r="B24" s="9" t="s">
        <v>76</v>
      </c>
      <c r="C24" s="18" t="n">
        <v>0.36</v>
      </c>
      <c r="E24" s="16" t="s">
        <v>77</v>
      </c>
    </row>
    <row r="25" customFormat="false" ht="16.5" hidden="false" customHeight="true" outlineLevel="0" collapsed="false">
      <c r="B25" s="9" t="s">
        <v>78</v>
      </c>
      <c r="C25" s="15" t="n">
        <v>5</v>
      </c>
      <c r="E25" s="16" t="s">
        <v>79</v>
      </c>
    </row>
    <row r="26" customFormat="false" ht="16.5" hidden="false" customHeight="true" outlineLevel="0" collapsed="false">
      <c r="B26" s="9" t="s">
        <v>80</v>
      </c>
      <c r="C26" s="15" t="n">
        <v>5</v>
      </c>
      <c r="E26" s="16" t="s">
        <v>79</v>
      </c>
    </row>
    <row r="27" customFormat="false" ht="16.5" hidden="false" customHeight="true" outlineLevel="0" collapsed="false">
      <c r="B27" s="9" t="s">
        <v>81</v>
      </c>
      <c r="C27" s="15" t="n">
        <v>9</v>
      </c>
      <c r="E27" s="16" t="s">
        <v>82</v>
      </c>
    </row>
    <row r="28" customFormat="false" ht="16.5" hidden="false" customHeight="true" outlineLevel="0" collapsed="false">
      <c r="B28" s="9" t="s">
        <v>83</v>
      </c>
      <c r="C28" s="15" t="n">
        <v>8280000</v>
      </c>
      <c r="E28" s="16" t="s">
        <v>84</v>
      </c>
    </row>
    <row r="30" customFormat="false" ht="15" hidden="false" customHeight="false" outlineLevel="0" collapsed="false">
      <c r="A30" s="13" t="s">
        <v>85</v>
      </c>
      <c r="B30" s="13"/>
      <c r="C30" s="13"/>
      <c r="D30" s="13"/>
      <c r="E30" s="13"/>
    </row>
    <row r="31" customFormat="false" ht="15" hidden="false" customHeight="false" outlineLevel="0" collapsed="false">
      <c r="A31" s="14" t="s">
        <v>48</v>
      </c>
      <c r="B31" s="14" t="s">
        <v>49</v>
      </c>
      <c r="C31" s="14"/>
      <c r="D31" s="14"/>
      <c r="E31" s="14" t="s">
        <v>50</v>
      </c>
    </row>
    <row r="32" customFormat="false" ht="16.5" hidden="false" customHeight="true" outlineLevel="0" collapsed="false">
      <c r="B32" s="9" t="s">
        <v>86</v>
      </c>
      <c r="C32" s="15" t="n">
        <v>69</v>
      </c>
      <c r="E32" s="16" t="s">
        <v>87</v>
      </c>
    </row>
    <row r="33" customFormat="false" ht="16.5" hidden="false" customHeight="true" outlineLevel="0" collapsed="false">
      <c r="B33" s="9" t="s">
        <v>88</v>
      </c>
      <c r="C33" s="15" t="n">
        <v>20</v>
      </c>
      <c r="E33" s="16" t="s">
        <v>89</v>
      </c>
    </row>
    <row r="34" customFormat="false" ht="16.5" hidden="false" customHeight="true" outlineLevel="0" collapsed="false">
      <c r="B34" s="9" t="s">
        <v>90</v>
      </c>
      <c r="C34" s="15" t="n">
        <v>1</v>
      </c>
      <c r="E34" s="16" t="s">
        <v>91</v>
      </c>
    </row>
    <row r="35" customFormat="false" ht="16.5" hidden="false" customHeight="true" outlineLevel="0" collapsed="false">
      <c r="B35" s="9" t="s">
        <v>92</v>
      </c>
      <c r="C35" s="15" t="n">
        <v>0</v>
      </c>
      <c r="E35" s="16" t="s">
        <v>93</v>
      </c>
    </row>
    <row r="36" customFormat="false" ht="16.5" hidden="false" customHeight="true" outlineLevel="0" collapsed="false">
      <c r="B36" s="9" t="s">
        <v>94</v>
      </c>
      <c r="C36" s="15" t="n">
        <v>15</v>
      </c>
      <c r="E36" s="16" t="s">
        <v>95</v>
      </c>
    </row>
    <row r="37" customFormat="false" ht="16.5" hidden="false" customHeight="true" outlineLevel="0" collapsed="false">
      <c r="B37" s="9" t="s">
        <v>96</v>
      </c>
      <c r="C37" s="15" t="n">
        <v>16</v>
      </c>
      <c r="E37" s="16" t="s">
        <v>97</v>
      </c>
    </row>
    <row r="38" customFormat="false" ht="16.5" hidden="false" customHeight="true" outlineLevel="0" collapsed="false">
      <c r="B38" s="9" t="s">
        <v>98</v>
      </c>
      <c r="C38" s="15" t="n">
        <v>17</v>
      </c>
      <c r="E38" s="16" t="s">
        <v>99</v>
      </c>
    </row>
    <row r="40" customFormat="false" ht="15" hidden="false" customHeight="false" outlineLevel="0" collapsed="false">
      <c r="A40" s="13" t="s">
        <v>100</v>
      </c>
      <c r="B40" s="13"/>
      <c r="C40" s="13"/>
      <c r="D40" s="13"/>
      <c r="E40" s="13"/>
    </row>
    <row r="41" customFormat="false" ht="15" hidden="false" customHeight="false" outlineLevel="0" collapsed="false">
      <c r="A41" s="14" t="s">
        <v>48</v>
      </c>
      <c r="B41" s="14" t="s">
        <v>49</v>
      </c>
      <c r="C41" s="14"/>
      <c r="D41" s="14"/>
      <c r="E41" s="14" t="s">
        <v>50</v>
      </c>
    </row>
    <row r="42" customFormat="false" ht="16.5" hidden="false" customHeight="true" outlineLevel="0" collapsed="false">
      <c r="B42" s="9" t="s">
        <v>101</v>
      </c>
      <c r="C42" s="15" t="n">
        <v>4000000</v>
      </c>
      <c r="E42" s="16" t="s">
        <v>102</v>
      </c>
    </row>
    <row r="43" customFormat="false" ht="16.5" hidden="false" customHeight="true" outlineLevel="0" collapsed="false">
      <c r="B43" s="9" t="s">
        <v>103</v>
      </c>
      <c r="C43" s="15" t="n">
        <v>6000000</v>
      </c>
      <c r="E43" s="16" t="s">
        <v>102</v>
      </c>
    </row>
    <row r="44" customFormat="false" ht="16.5" hidden="false" customHeight="true" outlineLevel="0" collapsed="false">
      <c r="B44" s="9" t="s">
        <v>104</v>
      </c>
      <c r="C44" s="15" t="n">
        <v>10000000</v>
      </c>
      <c r="E44" s="16" t="s">
        <v>102</v>
      </c>
    </row>
    <row r="46" customFormat="false" ht="15" hidden="false" customHeight="false" outlineLevel="0" collapsed="false">
      <c r="A46" s="13" t="s">
        <v>105</v>
      </c>
      <c r="B46" s="13"/>
      <c r="C46" s="13"/>
      <c r="D46" s="13"/>
      <c r="E46" s="13"/>
    </row>
    <row r="47" customFormat="false" ht="15" hidden="false" customHeight="false" outlineLevel="0" collapsed="false">
      <c r="A47" s="14" t="s">
        <v>106</v>
      </c>
      <c r="B47" s="14" t="s">
        <v>107</v>
      </c>
      <c r="C47" s="14"/>
      <c r="D47" s="14"/>
      <c r="E47" s="14" t="s">
        <v>50</v>
      </c>
    </row>
    <row r="48" customFormat="false" ht="16.5" hidden="false" customHeight="true" outlineLevel="0" collapsed="false">
      <c r="B48" s="9" t="s">
        <v>108</v>
      </c>
      <c r="C48" s="15" t="n">
        <v>9341531</v>
      </c>
      <c r="E48" s="16" t="s">
        <v>102</v>
      </c>
    </row>
    <row r="49" customFormat="false" ht="16.5" hidden="false" customHeight="true" outlineLevel="0" collapsed="false">
      <c r="B49" s="9" t="s">
        <v>109</v>
      </c>
      <c r="C49" s="15" t="n">
        <v>24910750</v>
      </c>
      <c r="E49" s="16" t="s">
        <v>102</v>
      </c>
    </row>
    <row r="50" customFormat="false" ht="16.5" hidden="false" customHeight="true" outlineLevel="0" collapsed="false">
      <c r="B50" s="9" t="s">
        <v>110</v>
      </c>
      <c r="C50" s="15" t="n">
        <v>10000000</v>
      </c>
      <c r="E50" s="16" t="s">
        <v>111</v>
      </c>
    </row>
    <row r="51" customFormat="false" ht="16.5" hidden="false" customHeight="true" outlineLevel="0" collapsed="false">
      <c r="B51" s="9" t="s">
        <v>112</v>
      </c>
      <c r="C51" s="15" t="n">
        <v>300000</v>
      </c>
    </row>
    <row r="52" customFormat="false" ht="16.5" hidden="false" customHeight="true" outlineLevel="0" collapsed="false">
      <c r="B52" s="9" t="s">
        <v>113</v>
      </c>
      <c r="C52" s="15" t="n">
        <v>15000</v>
      </c>
    </row>
    <row r="53" customFormat="false" ht="16.5" hidden="false" customHeight="true" outlineLevel="0" collapsed="false">
      <c r="B53" s="9" t="s">
        <v>114</v>
      </c>
      <c r="C53" s="15" t="n">
        <v>34514640</v>
      </c>
      <c r="E53" s="16" t="s">
        <v>115</v>
      </c>
    </row>
    <row r="55" customFormat="false" ht="15" hidden="false" customHeight="false" outlineLevel="0" collapsed="false">
      <c r="A55" s="13" t="s">
        <v>116</v>
      </c>
      <c r="B55" s="13"/>
      <c r="C55" s="13"/>
      <c r="D55" s="13"/>
      <c r="E55" s="13"/>
    </row>
    <row r="56" customFormat="false" ht="15" hidden="false" customHeight="false" outlineLevel="0" collapsed="false">
      <c r="A56" s="14" t="s">
        <v>48</v>
      </c>
      <c r="B56" s="14" t="s">
        <v>49</v>
      </c>
      <c r="C56" s="14"/>
      <c r="D56" s="14"/>
      <c r="E56" s="14" t="s">
        <v>50</v>
      </c>
    </row>
    <row r="57" customFormat="false" ht="16.5" hidden="false" customHeight="true" outlineLevel="0" collapsed="false">
      <c r="B57" s="9" t="s">
        <v>117</v>
      </c>
      <c r="C57" s="17" t="n">
        <v>0.03</v>
      </c>
      <c r="E57" s="16" t="s">
        <v>118</v>
      </c>
    </row>
    <row r="59" customFormat="false" ht="15" hidden="false" customHeight="false" outlineLevel="0" collapsed="false">
      <c r="A59" s="13" t="s">
        <v>119</v>
      </c>
      <c r="B59" s="13"/>
      <c r="C59" s="13"/>
      <c r="D59" s="13"/>
      <c r="E59" s="13"/>
    </row>
    <row r="60" customFormat="false" ht="15" hidden="false" customHeight="false" outlineLevel="0" collapsed="false">
      <c r="A60" s="14" t="s">
        <v>120</v>
      </c>
      <c r="B60" s="14" t="s">
        <v>121</v>
      </c>
      <c r="C60" s="14"/>
      <c r="D60" s="14"/>
      <c r="E60" s="14" t="s">
        <v>50</v>
      </c>
    </row>
    <row r="61" customFormat="false" ht="16.5" hidden="false" customHeight="true" outlineLevel="0" collapsed="false">
      <c r="B61" s="11" t="s">
        <v>122</v>
      </c>
      <c r="C61" s="19" t="s">
        <v>123</v>
      </c>
      <c r="E61" s="20" t="s">
        <v>124</v>
      </c>
    </row>
    <row r="62" customFormat="false" ht="16.5" hidden="false" customHeight="true" outlineLevel="0" collapsed="false">
      <c r="B62" s="11" t="s">
        <v>125</v>
      </c>
      <c r="C62" s="19" t="s">
        <v>126</v>
      </c>
    </row>
    <row r="63" customFormat="false" ht="16.5" hidden="false" customHeight="true" outlineLevel="0" collapsed="false">
      <c r="B63" s="11" t="s">
        <v>127</v>
      </c>
      <c r="C63" s="19" t="s">
        <v>128</v>
      </c>
    </row>
    <row r="64" customFormat="false" ht="16.5" hidden="false" customHeight="true" outlineLevel="0" collapsed="false">
      <c r="B64" s="11" t="s">
        <v>129</v>
      </c>
      <c r="C64" s="19" t="s">
        <v>130</v>
      </c>
    </row>
    <row r="65" customFormat="false" ht="16.5" hidden="false" customHeight="true" outlineLevel="0" collapsed="false">
      <c r="B65" s="11" t="s">
        <v>131</v>
      </c>
      <c r="C65" s="19" t="s">
        <v>132</v>
      </c>
    </row>
    <row r="66" customFormat="false" ht="16.5" hidden="false" customHeight="true" outlineLevel="0" collapsed="false">
      <c r="B66" s="11" t="s">
        <v>133</v>
      </c>
      <c r="C66" s="19" t="s">
        <v>134</v>
      </c>
    </row>
    <row r="67" customFormat="false" ht="16.5" hidden="false" customHeight="true" outlineLevel="0" collapsed="false">
      <c r="B67" s="11" t="s">
        <v>135</v>
      </c>
      <c r="C67" s="19" t="s">
        <v>136</v>
      </c>
    </row>
    <row r="68" customFormat="false" ht="16.5" hidden="false" customHeight="true" outlineLevel="0" collapsed="false">
      <c r="B68" s="11" t="s">
        <v>137</v>
      </c>
      <c r="C68" s="19" t="s">
        <v>138</v>
      </c>
    </row>
    <row r="69" customFormat="false" ht="16.5" hidden="false" customHeight="true" outlineLevel="0" collapsed="false">
      <c r="B69" s="11" t="s">
        <v>139</v>
      </c>
      <c r="C69" s="19" t="s">
        <v>140</v>
      </c>
      <c r="E69" s="20" t="s">
        <v>141</v>
      </c>
    </row>
  </sheetData>
  <mergeCells count="8">
    <mergeCell ref="A4:E4"/>
    <mergeCell ref="A13:E13"/>
    <mergeCell ref="A20:E20"/>
    <mergeCell ref="A30:E30"/>
    <mergeCell ref="A40:E40"/>
    <mergeCell ref="A46:E46"/>
    <mergeCell ref="A55:E55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7" min="6" style="0" width="18"/>
  </cols>
  <sheetData>
    <row r="2" customFormat="false" ht="16.15" hidden="false" customHeight="false" outlineLevel="0" collapsed="false">
      <c r="B2" s="12" t="s">
        <v>142</v>
      </c>
    </row>
    <row r="4" customFormat="false" ht="15" hidden="false" customHeight="false" outlineLevel="0" collapsed="false">
      <c r="A4" s="13" t="s">
        <v>143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144</v>
      </c>
      <c r="B5" s="14" t="s">
        <v>145</v>
      </c>
      <c r="C5" s="14" t="s">
        <v>146</v>
      </c>
      <c r="D5" s="14" t="s">
        <v>147</v>
      </c>
      <c r="E5" s="14" t="s">
        <v>11</v>
      </c>
      <c r="F5" s="14" t="s">
        <v>148</v>
      </c>
      <c r="G5" s="14" t="s">
        <v>50</v>
      </c>
    </row>
    <row r="6" customFormat="false" ht="15" hidden="false" customHeight="false" outlineLevel="0" collapsed="false">
      <c r="B6" s="21" t="s">
        <v>149</v>
      </c>
      <c r="C6" s="22" t="n">
        <v>5</v>
      </c>
      <c r="D6" s="22" t="n">
        <v>5</v>
      </c>
      <c r="E6" s="22" t="n">
        <v>9</v>
      </c>
      <c r="F6" s="23" t="n">
        <f aca="false">C6+D6+E6</f>
        <v>19</v>
      </c>
      <c r="G6" s="24" t="s">
        <v>150</v>
      </c>
    </row>
    <row r="7" customFormat="false" ht="15" hidden="false" customHeight="false" outlineLevel="0" collapsed="false">
      <c r="B7" s="25" t="s">
        <v>151</v>
      </c>
      <c r="C7" s="26" t="n">
        <v>0</v>
      </c>
      <c r="D7" s="26" t="n">
        <v>1</v>
      </c>
      <c r="E7" s="26" t="n">
        <v>20</v>
      </c>
      <c r="F7" s="27" t="n">
        <f aca="false">C7+D7+E7</f>
        <v>21</v>
      </c>
      <c r="G7" s="28" t="s">
        <v>152</v>
      </c>
    </row>
    <row r="8" customFormat="false" ht="15" hidden="false" customHeight="false" outlineLevel="0" collapsed="false">
      <c r="B8" s="21" t="s">
        <v>153</v>
      </c>
      <c r="C8" s="22" t="n">
        <v>17</v>
      </c>
      <c r="D8" s="22" t="n">
        <v>16</v>
      </c>
      <c r="E8" s="22" t="n">
        <v>15</v>
      </c>
      <c r="F8" s="23" t="n">
        <f aca="false">C8+D8+E8</f>
        <v>48</v>
      </c>
      <c r="G8" s="24" t="s">
        <v>154</v>
      </c>
    </row>
    <row r="9" customFormat="false" ht="15" hidden="false" customHeight="false" outlineLevel="0" collapsed="false">
      <c r="B9" s="29" t="s">
        <v>155</v>
      </c>
      <c r="E9" s="30" t="s">
        <v>156</v>
      </c>
      <c r="F9" s="15" t="n">
        <v>8280000</v>
      </c>
      <c r="G9" s="20" t="s">
        <v>157</v>
      </c>
    </row>
    <row r="10" customFormat="false" ht="18" hidden="false" customHeight="true" outlineLevel="0" collapsed="false">
      <c r="B10" s="31" t="s">
        <v>158</v>
      </c>
      <c r="C10" s="32" t="n">
        <f aca="false">SUM(C6:C8)</f>
        <v>22</v>
      </c>
      <c r="D10" s="32" t="n">
        <f aca="false">SUM(D6:D8)</f>
        <v>22</v>
      </c>
      <c r="E10" s="32" t="n">
        <f aca="false">SUM(E6:E8)</f>
        <v>44</v>
      </c>
      <c r="F10" s="33" t="n">
        <f aca="false">SUM(F6:F8)+F9</f>
        <v>8280088</v>
      </c>
      <c r="G10" s="1"/>
    </row>
    <row r="12" customFormat="false" ht="15" hidden="false" customHeight="false" outlineLevel="0" collapsed="false">
      <c r="A12" s="13" t="s">
        <v>159</v>
      </c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4" t="s">
        <v>160</v>
      </c>
      <c r="B13" s="14" t="s">
        <v>145</v>
      </c>
      <c r="C13" s="14" t="s">
        <v>146</v>
      </c>
      <c r="D13" s="14" t="s">
        <v>147</v>
      </c>
      <c r="E13" s="14" t="s">
        <v>161</v>
      </c>
      <c r="F13" s="14" t="s">
        <v>162</v>
      </c>
      <c r="G13" s="14" t="s">
        <v>163</v>
      </c>
    </row>
    <row r="14" customFormat="false" ht="15" hidden="false" customHeight="false" outlineLevel="0" collapsed="false">
      <c r="B14" s="21" t="s">
        <v>164</v>
      </c>
      <c r="C14" s="34" t="n">
        <v>0</v>
      </c>
      <c r="D14" s="34" t="n">
        <v>1</v>
      </c>
      <c r="E14" s="34" t="n">
        <v>20</v>
      </c>
      <c r="F14" s="23" t="n">
        <f aca="false">C14+D14+E14</f>
        <v>21</v>
      </c>
      <c r="G14" s="35" t="n">
        <f aca="false">C14*10000000+D14*17000000+E14*23000000</f>
        <v>477000000</v>
      </c>
    </row>
    <row r="15" customFormat="false" ht="15" hidden="false" customHeight="false" outlineLevel="0" collapsed="false">
      <c r="B15" s="25" t="s">
        <v>165</v>
      </c>
      <c r="C15" s="36" t="n">
        <v>17</v>
      </c>
      <c r="D15" s="36" t="n">
        <v>16</v>
      </c>
      <c r="E15" s="36" t="n">
        <v>15</v>
      </c>
      <c r="F15" s="27" t="n">
        <f aca="false">C15+D15+E15</f>
        <v>48</v>
      </c>
      <c r="G15" s="37" t="n">
        <f aca="false">C15*13000000+D15*22000000+E15*30000000</f>
        <v>1023000000</v>
      </c>
    </row>
    <row r="16" customFormat="false" ht="15" hidden="false" customHeight="false" outlineLevel="0" collapsed="false">
      <c r="B16" s="38" t="s">
        <v>166</v>
      </c>
      <c r="C16" s="39" t="n">
        <f aca="false">SUM(C14:C15)</f>
        <v>17</v>
      </c>
      <c r="D16" s="39" t="n">
        <f aca="false">SUM(D14:D15)</f>
        <v>17</v>
      </c>
      <c r="E16" s="39" t="n">
        <f aca="false">SUM(E14:E15)</f>
        <v>35</v>
      </c>
      <c r="F16" s="39" t="n">
        <f aca="false">SUM(F14:F15)</f>
        <v>69</v>
      </c>
      <c r="G16" s="40" t="n">
        <f aca="false">SUM(G14:G15)</f>
        <v>1500000000</v>
      </c>
    </row>
    <row r="18" customFormat="false" ht="15" hidden="false" customHeight="false" outlineLevel="0" collapsed="false">
      <c r="A18" s="13" t="s">
        <v>167</v>
      </c>
      <c r="B18" s="13"/>
      <c r="C18" s="13"/>
      <c r="D18" s="13"/>
      <c r="E18" s="13"/>
      <c r="F18" s="13"/>
      <c r="G18" s="13"/>
    </row>
    <row r="19" customFormat="false" ht="15" hidden="false" customHeight="false" outlineLevel="0" collapsed="false">
      <c r="A19" s="14" t="s">
        <v>168</v>
      </c>
      <c r="B19" s="14" t="s">
        <v>169</v>
      </c>
      <c r="C19" s="14" t="s">
        <v>11</v>
      </c>
      <c r="D19" s="14" t="s">
        <v>170</v>
      </c>
      <c r="E19" s="14" t="s">
        <v>171</v>
      </c>
      <c r="F19" s="14" t="s">
        <v>172</v>
      </c>
      <c r="G19" s="14"/>
    </row>
    <row r="20" customFormat="false" ht="15" hidden="false" customHeight="false" outlineLevel="0" collapsed="false">
      <c r="B20" s="21" t="s">
        <v>173</v>
      </c>
      <c r="C20" s="41" t="s">
        <v>174</v>
      </c>
      <c r="D20" s="34" t="n">
        <v>22</v>
      </c>
      <c r="E20" s="41" t="s">
        <v>175</v>
      </c>
      <c r="F20" s="41" t="s">
        <v>176</v>
      </c>
      <c r="G20" s="42" t="s">
        <v>177</v>
      </c>
    </row>
    <row r="21" customFormat="false" ht="15" hidden="false" customHeight="false" outlineLevel="0" collapsed="false">
      <c r="B21" s="25" t="s">
        <v>178</v>
      </c>
      <c r="C21" s="43" t="s">
        <v>174</v>
      </c>
      <c r="D21" s="36" t="n">
        <v>22</v>
      </c>
      <c r="E21" s="43" t="s">
        <v>175</v>
      </c>
      <c r="F21" s="43" t="s">
        <v>176</v>
      </c>
      <c r="G21" s="44" t="s">
        <v>177</v>
      </c>
    </row>
    <row r="22" customFormat="false" ht="15" hidden="false" customHeight="false" outlineLevel="0" collapsed="false">
      <c r="B22" s="21" t="s">
        <v>179</v>
      </c>
      <c r="C22" s="41" t="s">
        <v>180</v>
      </c>
      <c r="D22" s="34" t="n">
        <v>22</v>
      </c>
      <c r="E22" s="41" t="s">
        <v>181</v>
      </c>
      <c r="F22" s="41" t="s">
        <v>182</v>
      </c>
      <c r="G22" s="42" t="s">
        <v>177</v>
      </c>
    </row>
    <row r="23" customFormat="false" ht="15" hidden="false" customHeight="false" outlineLevel="0" collapsed="false">
      <c r="B23" s="25" t="s">
        <v>183</v>
      </c>
      <c r="C23" s="43" t="s">
        <v>184</v>
      </c>
      <c r="D23" s="36" t="n">
        <v>22</v>
      </c>
      <c r="E23" s="43" t="s">
        <v>185</v>
      </c>
      <c r="F23" s="43" t="s">
        <v>186</v>
      </c>
      <c r="G23" s="44" t="s">
        <v>177</v>
      </c>
    </row>
  </sheetData>
  <mergeCells count="3">
    <mergeCell ref="A4:G4"/>
    <mergeCell ref="A12:G1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0"/>
  </cols>
  <sheetData>
    <row r="2" customFormat="false" ht="16.15" hidden="false" customHeight="false" outlineLevel="0" collapsed="false">
      <c r="B2" s="12" t="s">
        <v>187</v>
      </c>
    </row>
    <row r="4" customFormat="false" ht="15" hidden="false" customHeight="false" outlineLevel="0" collapsed="false">
      <c r="A4" s="13" t="s">
        <v>188</v>
      </c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169</v>
      </c>
      <c r="B5" s="14" t="s">
        <v>189</v>
      </c>
      <c r="C5" s="14" t="s">
        <v>190</v>
      </c>
      <c r="D5" s="14" t="s">
        <v>162</v>
      </c>
      <c r="E5" s="14"/>
      <c r="F5" s="14"/>
    </row>
    <row r="6" customFormat="false" ht="15" hidden="false" customHeight="false" outlineLevel="0" collapsed="false">
      <c r="B6" s="41" t="s">
        <v>174</v>
      </c>
      <c r="C6" s="34" t="n">
        <v>20</v>
      </c>
      <c r="D6" s="45" t="n">
        <v>23000000</v>
      </c>
      <c r="E6" s="35" t="n">
        <f aca="false">C6*D6</f>
        <v>460000000</v>
      </c>
      <c r="F6" s="46"/>
    </row>
    <row r="7" customFormat="false" ht="15" hidden="false" customHeight="false" outlineLevel="0" collapsed="false">
      <c r="B7" s="43" t="s">
        <v>180</v>
      </c>
      <c r="C7" s="36" t="n">
        <v>1</v>
      </c>
      <c r="D7" s="47" t="n">
        <v>17000000</v>
      </c>
      <c r="E7" s="37" t="n">
        <f aca="false">C7*D7</f>
        <v>17000000</v>
      </c>
      <c r="F7" s="48"/>
    </row>
    <row r="8" customFormat="false" ht="15" hidden="false" customHeight="false" outlineLevel="0" collapsed="false">
      <c r="B8" s="41" t="s">
        <v>184</v>
      </c>
      <c r="C8" s="34" t="n">
        <v>0</v>
      </c>
      <c r="D8" s="45" t="n">
        <v>10000000</v>
      </c>
      <c r="E8" s="35" t="n">
        <f aca="false">C8*D8</f>
        <v>0</v>
      </c>
      <c r="F8" s="46"/>
    </row>
    <row r="9" customFormat="false" ht="15" hidden="false" customHeight="false" outlineLevel="0" collapsed="false">
      <c r="B9" s="38" t="s">
        <v>191</v>
      </c>
      <c r="C9" s="39" t="n">
        <f aca="false">SUM(C6:C8)</f>
        <v>21</v>
      </c>
      <c r="D9" s="49"/>
      <c r="E9" s="40" t="n">
        <f aca="false">SUM(E6:E8)</f>
        <v>477000000</v>
      </c>
      <c r="F9" s="49"/>
    </row>
    <row r="11" customFormat="false" ht="15" hidden="false" customHeight="false" outlineLevel="0" collapsed="false">
      <c r="A11" s="13" t="s">
        <v>192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 t="s">
        <v>169</v>
      </c>
      <c r="B12" s="14" t="s">
        <v>189</v>
      </c>
      <c r="C12" s="14" t="s">
        <v>190</v>
      </c>
      <c r="D12" s="14" t="s">
        <v>162</v>
      </c>
      <c r="E12" s="14"/>
      <c r="F12" s="14"/>
    </row>
    <row r="13" customFormat="false" ht="15" hidden="false" customHeight="false" outlineLevel="0" collapsed="false">
      <c r="B13" s="41" t="s">
        <v>174</v>
      </c>
      <c r="C13" s="34" t="n">
        <v>15</v>
      </c>
      <c r="D13" s="45" t="n">
        <v>30000000</v>
      </c>
      <c r="E13" s="35" t="n">
        <f aca="false">C13*D13</f>
        <v>450000000</v>
      </c>
      <c r="F13" s="46"/>
    </row>
    <row r="14" customFormat="false" ht="15" hidden="false" customHeight="false" outlineLevel="0" collapsed="false">
      <c r="B14" s="43" t="s">
        <v>180</v>
      </c>
      <c r="C14" s="36" t="n">
        <v>16</v>
      </c>
      <c r="D14" s="47" t="n">
        <v>22000000</v>
      </c>
      <c r="E14" s="37" t="n">
        <f aca="false">C14*D14</f>
        <v>352000000</v>
      </c>
      <c r="F14" s="48"/>
    </row>
    <row r="15" customFormat="false" ht="15" hidden="false" customHeight="false" outlineLevel="0" collapsed="false">
      <c r="B15" s="41" t="s">
        <v>184</v>
      </c>
      <c r="C15" s="34" t="n">
        <v>17</v>
      </c>
      <c r="D15" s="45" t="n">
        <v>13000000</v>
      </c>
      <c r="E15" s="35" t="n">
        <f aca="false">C15*D15</f>
        <v>221000000</v>
      </c>
      <c r="F15" s="46"/>
    </row>
    <row r="16" customFormat="false" ht="15" hidden="false" customHeight="false" outlineLevel="0" collapsed="false">
      <c r="B16" s="38" t="s">
        <v>193</v>
      </c>
      <c r="C16" s="39" t="n">
        <f aca="false">SUM(C13:C15)</f>
        <v>48</v>
      </c>
      <c r="D16" s="49"/>
      <c r="E16" s="40" t="n">
        <f aca="false">SUM(E13:E15)</f>
        <v>1023000000</v>
      </c>
      <c r="F16" s="49"/>
    </row>
    <row r="18" customFormat="false" ht="15" hidden="false" customHeight="false" outlineLevel="0" collapsed="false">
      <c r="B18" s="50" t="s">
        <v>194</v>
      </c>
      <c r="C18" s="46"/>
      <c r="D18" s="46"/>
      <c r="E18" s="45" t="n">
        <v>8280000</v>
      </c>
      <c r="F18" s="46"/>
    </row>
    <row r="20" customFormat="false" ht="19.5" hidden="false" customHeight="true" outlineLevel="0" collapsed="false">
      <c r="B20" s="51" t="s">
        <v>195</v>
      </c>
      <c r="C20" s="1"/>
      <c r="D20" s="1"/>
      <c r="E20" s="52" t="n">
        <f aca="false">E9+E16+E18</f>
        <v>1508280000</v>
      </c>
      <c r="F20" s="1"/>
    </row>
    <row r="22" customFormat="false" ht="15" hidden="false" customHeight="false" outlineLevel="0" collapsed="false">
      <c r="A22" s="13" t="s">
        <v>196</v>
      </c>
      <c r="B22" s="13"/>
      <c r="C22" s="13"/>
      <c r="D22" s="13"/>
      <c r="E22" s="13"/>
      <c r="F22" s="13"/>
    </row>
    <row r="23" customFormat="false" ht="15" hidden="false" customHeight="false" outlineLevel="0" collapsed="false">
      <c r="B23" s="11" t="s">
        <v>197</v>
      </c>
      <c r="E23" s="53" t="n">
        <f aca="false">E9</f>
        <v>477000000</v>
      </c>
    </row>
    <row r="24" customFormat="false" ht="15" hidden="false" customHeight="false" outlineLevel="0" collapsed="false">
      <c r="B24" s="11" t="s">
        <v>198</v>
      </c>
      <c r="E24" s="53" t="n">
        <f aca="false">E16</f>
        <v>1023000000</v>
      </c>
    </row>
    <row r="25" customFormat="false" ht="15" hidden="false" customHeight="false" outlineLevel="0" collapsed="false">
      <c r="B25" s="11" t="s">
        <v>199</v>
      </c>
      <c r="E25" s="54" t="n">
        <f aca="false">E9/E20</f>
        <v>0.316254276394303</v>
      </c>
    </row>
    <row r="26" customFormat="false" ht="15" hidden="false" customHeight="false" outlineLevel="0" collapsed="false">
      <c r="B26" s="11" t="s">
        <v>200</v>
      </c>
      <c r="E26" s="55" t="n">
        <f aca="false">(E9+E16)/69</f>
        <v>21739130.4347826</v>
      </c>
    </row>
    <row r="27" customFormat="false" ht="15" hidden="false" customHeight="false" outlineLevel="0" collapsed="false">
      <c r="B27" s="11" t="s">
        <v>201</v>
      </c>
      <c r="E27" s="54" t="n">
        <f aca="false">C9/69</f>
        <v>0.304347826086957</v>
      </c>
    </row>
  </sheetData>
  <mergeCells count="3">
    <mergeCell ref="A4:F4"/>
    <mergeCell ref="A11:F1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2"/>
  </cols>
  <sheetData>
    <row r="2" customFormat="false" ht="16.15" hidden="false" customHeight="false" outlineLevel="0" collapsed="false">
      <c r="B2" s="12" t="s">
        <v>202</v>
      </c>
    </row>
    <row r="4" customFormat="false" ht="15" hidden="false" customHeight="false" outlineLevel="0" collapsed="false">
      <c r="A4" s="13" t="s">
        <v>203</v>
      </c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169</v>
      </c>
      <c r="B5" s="14" t="s">
        <v>189</v>
      </c>
      <c r="C5" s="14" t="s">
        <v>204</v>
      </c>
      <c r="D5" s="14" t="s">
        <v>205</v>
      </c>
      <c r="E5" s="14" t="s">
        <v>206</v>
      </c>
      <c r="F5" s="14"/>
    </row>
    <row r="6" customFormat="false" ht="15" hidden="false" customHeight="false" outlineLevel="0" collapsed="false">
      <c r="B6" s="41" t="s">
        <v>184</v>
      </c>
      <c r="C6" s="34" t="n">
        <v>22</v>
      </c>
      <c r="D6" s="45" t="n">
        <v>4000000</v>
      </c>
      <c r="E6" s="35" t="n">
        <f aca="false">C6*D6</f>
        <v>88000000</v>
      </c>
      <c r="F6" s="46"/>
    </row>
    <row r="7" customFormat="false" ht="15" hidden="false" customHeight="false" outlineLevel="0" collapsed="false">
      <c r="B7" s="43" t="s">
        <v>180</v>
      </c>
      <c r="C7" s="36" t="n">
        <v>22</v>
      </c>
      <c r="D7" s="47" t="n">
        <v>6000000</v>
      </c>
      <c r="E7" s="37" t="n">
        <f aca="false">C7*D7</f>
        <v>132000000</v>
      </c>
      <c r="F7" s="48"/>
    </row>
    <row r="8" customFormat="false" ht="15" hidden="false" customHeight="false" outlineLevel="0" collapsed="false">
      <c r="B8" s="41" t="s">
        <v>174</v>
      </c>
      <c r="C8" s="34" t="n">
        <v>44</v>
      </c>
      <c r="D8" s="45" t="n">
        <v>10000000</v>
      </c>
      <c r="E8" s="35" t="n">
        <f aca="false">C8*D8</f>
        <v>440000000</v>
      </c>
      <c r="F8" s="46"/>
    </row>
    <row r="9" customFormat="false" ht="15" hidden="false" customHeight="false" outlineLevel="0" collapsed="false">
      <c r="B9" s="38" t="s">
        <v>207</v>
      </c>
      <c r="C9" s="39" t="n">
        <f aca="false">SUM(C6:C8)</f>
        <v>88</v>
      </c>
      <c r="D9" s="49"/>
      <c r="E9" s="40" t="n">
        <f aca="false">SUM(E6:E8)</f>
        <v>660000000</v>
      </c>
      <c r="F9" s="49"/>
    </row>
    <row r="11" customFormat="false" ht="15" hidden="false" customHeight="false" outlineLevel="0" collapsed="false">
      <c r="A11" s="13" t="s">
        <v>208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 t="s">
        <v>106</v>
      </c>
      <c r="B12" s="14"/>
      <c r="C12" s="14" t="s">
        <v>209</v>
      </c>
      <c r="D12" s="14" t="s">
        <v>210</v>
      </c>
      <c r="E12" s="14"/>
      <c r="F12" s="14"/>
    </row>
    <row r="13" customFormat="false" ht="15" hidden="false" customHeight="false" outlineLevel="0" collapsed="false">
      <c r="B13" s="41" t="s">
        <v>108</v>
      </c>
      <c r="C13" s="46"/>
      <c r="D13" s="45" t="n">
        <v>9341531</v>
      </c>
      <c r="E13" s="46"/>
      <c r="F13" s="46"/>
    </row>
    <row r="14" customFormat="false" ht="15" hidden="false" customHeight="false" outlineLevel="0" collapsed="false">
      <c r="B14" s="43" t="s">
        <v>109</v>
      </c>
      <c r="C14" s="48"/>
      <c r="D14" s="47" t="n">
        <v>24910750</v>
      </c>
      <c r="E14" s="48"/>
      <c r="F14" s="48"/>
    </row>
    <row r="15" customFormat="false" ht="15" hidden="false" customHeight="false" outlineLevel="0" collapsed="false">
      <c r="B15" s="41" t="s">
        <v>110</v>
      </c>
      <c r="C15" s="46"/>
      <c r="D15" s="45" t="n">
        <v>10000000</v>
      </c>
      <c r="E15" s="46"/>
      <c r="F15" s="46"/>
    </row>
    <row r="16" customFormat="false" ht="15" hidden="false" customHeight="false" outlineLevel="0" collapsed="false">
      <c r="B16" s="43" t="s">
        <v>112</v>
      </c>
      <c r="C16" s="48"/>
      <c r="D16" s="47" t="n">
        <v>300000</v>
      </c>
      <c r="E16" s="48"/>
      <c r="F16" s="48"/>
    </row>
    <row r="17" customFormat="false" ht="15" hidden="false" customHeight="false" outlineLevel="0" collapsed="false">
      <c r="B17" s="41" t="s">
        <v>113</v>
      </c>
      <c r="C17" s="46"/>
      <c r="D17" s="45" t="n">
        <v>15000</v>
      </c>
      <c r="E17" s="46"/>
      <c r="F17" s="46"/>
    </row>
    <row r="18" customFormat="false" ht="15" hidden="false" customHeight="false" outlineLevel="0" collapsed="false">
      <c r="B18" s="43" t="s">
        <v>114</v>
      </c>
      <c r="C18" s="48"/>
      <c r="D18" s="47" t="n">
        <v>34514640</v>
      </c>
      <c r="E18" s="48"/>
      <c r="F18" s="48"/>
    </row>
    <row r="19" customFormat="false" ht="15" hidden="false" customHeight="false" outlineLevel="0" collapsed="false">
      <c r="B19" s="38" t="s">
        <v>211</v>
      </c>
      <c r="C19" s="49"/>
      <c r="D19" s="40" t="n">
        <f aca="false">SUM(D13:D18)</f>
        <v>79081921</v>
      </c>
      <c r="E19" s="49"/>
      <c r="F19" s="49"/>
    </row>
    <row r="21" customFormat="false" ht="15" hidden="false" customHeight="false" outlineLevel="0" collapsed="false">
      <c r="A21" s="13" t="s">
        <v>212</v>
      </c>
      <c r="B21" s="13"/>
      <c r="C21" s="13"/>
      <c r="D21" s="13"/>
      <c r="E21" s="13"/>
      <c r="F21" s="13"/>
    </row>
    <row r="22" customFormat="false" ht="15" hidden="false" customHeight="false" outlineLevel="0" collapsed="false">
      <c r="A22" s="14" t="s">
        <v>106</v>
      </c>
      <c r="B22" s="14"/>
      <c r="C22" s="14" t="s">
        <v>209</v>
      </c>
      <c r="D22" s="14" t="s">
        <v>213</v>
      </c>
      <c r="E22" s="14"/>
      <c r="F22" s="14"/>
    </row>
    <row r="23" customFormat="false" ht="15" hidden="false" customHeight="false" outlineLevel="0" collapsed="false">
      <c r="B23" s="41" t="s">
        <v>214</v>
      </c>
      <c r="C23" s="46"/>
      <c r="D23" s="56" t="n">
        <f aca="false">Revenue!E20*0.03</f>
        <v>45248400</v>
      </c>
      <c r="E23" s="24" t="s">
        <v>215</v>
      </c>
      <c r="F23" s="46"/>
    </row>
    <row r="24" customFormat="false" ht="15" hidden="false" customHeight="false" outlineLevel="0" collapsed="false">
      <c r="B24" s="38" t="s">
        <v>216</v>
      </c>
      <c r="C24" s="49"/>
      <c r="D24" s="40" t="n">
        <f aca="false">D23</f>
        <v>45248400</v>
      </c>
      <c r="E24" s="49"/>
      <c r="F24" s="49"/>
    </row>
    <row r="26" customFormat="false" ht="21.75" hidden="false" customHeight="true" outlineLevel="0" collapsed="false">
      <c r="B26" s="57" t="s">
        <v>217</v>
      </c>
      <c r="C26" s="1"/>
      <c r="D26" s="58" t="n">
        <f aca="false">E9+D19+D24</f>
        <v>784330321</v>
      </c>
      <c r="E26" s="1"/>
      <c r="F26" s="1"/>
    </row>
    <row r="28" customFormat="false" ht="15" hidden="false" customHeight="false" outlineLevel="0" collapsed="false">
      <c r="A28" s="13" t="s">
        <v>218</v>
      </c>
      <c r="B28" s="13"/>
      <c r="C28" s="13"/>
      <c r="D28" s="13"/>
      <c r="E28" s="13"/>
      <c r="F28" s="13"/>
    </row>
    <row r="29" customFormat="false" ht="15" hidden="false" customHeight="false" outlineLevel="0" collapsed="false">
      <c r="B29" s="41" t="s">
        <v>219</v>
      </c>
      <c r="C29" s="46"/>
      <c r="D29" s="35" t="n">
        <f aca="false">E9/88</f>
        <v>7500000</v>
      </c>
      <c r="E29" s="46"/>
      <c r="F29" s="46"/>
    </row>
    <row r="30" customFormat="false" ht="15" hidden="false" customHeight="false" outlineLevel="0" collapsed="false">
      <c r="B30" s="43" t="s">
        <v>220</v>
      </c>
      <c r="C30" s="48"/>
      <c r="D30" s="37" t="n">
        <f aca="false">E9/173208</f>
        <v>3810.44755438548</v>
      </c>
      <c r="E30" s="48"/>
      <c r="F30" s="48"/>
    </row>
    <row r="31" customFormat="false" ht="15" hidden="false" customHeight="false" outlineLevel="0" collapsed="false">
      <c r="B31" s="41" t="s">
        <v>221</v>
      </c>
      <c r="C31" s="46"/>
      <c r="D31" s="35" t="n">
        <f aca="false">D26/88</f>
        <v>8912844.55681818</v>
      </c>
      <c r="E31" s="46"/>
      <c r="F31" s="46"/>
    </row>
    <row r="32" customFormat="false" ht="15" hidden="false" customHeight="false" outlineLevel="0" collapsed="false">
      <c r="B32" s="43" t="s">
        <v>222</v>
      </c>
      <c r="C32" s="48"/>
      <c r="D32" s="59" t="n">
        <f aca="false">E9/D26</f>
        <v>0.841482194846832</v>
      </c>
      <c r="E32" s="48"/>
      <c r="F32" s="48"/>
    </row>
    <row r="33" customFormat="false" ht="15" hidden="false" customHeight="false" outlineLevel="0" collapsed="false">
      <c r="B33" s="41" t="s">
        <v>223</v>
      </c>
      <c r="C33" s="46"/>
      <c r="D33" s="60" t="n">
        <f aca="false">(D19+D24)/D26</f>
        <v>0.158517805153168</v>
      </c>
      <c r="E33" s="46"/>
      <c r="F33" s="46"/>
    </row>
  </sheetData>
  <mergeCells count="4">
    <mergeCell ref="A4:F4"/>
    <mergeCell ref="A11:F11"/>
    <mergeCell ref="A21:F21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8"/>
  </cols>
  <sheetData>
    <row r="2" customFormat="false" ht="16.15" hidden="false" customHeight="false" outlineLevel="0" collapsed="false">
      <c r="B2" s="12" t="s">
        <v>224</v>
      </c>
      <c r="C2" s="61" t="s">
        <v>225</v>
      </c>
    </row>
    <row r="4" customFormat="false" ht="15" hidden="false" customHeight="false" outlineLevel="0" collapsed="false">
      <c r="A4" s="13" t="s">
        <v>226</v>
      </c>
      <c r="B4" s="13"/>
      <c r="C4" s="13"/>
      <c r="D4" s="13"/>
    </row>
    <row r="5" customFormat="false" ht="15" hidden="false" customHeight="false" outlineLevel="0" collapsed="false">
      <c r="B5" s="41" t="s">
        <v>227</v>
      </c>
      <c r="C5" s="56" t="n">
        <f aca="false">Revenue!E9</f>
        <v>477000000</v>
      </c>
      <c r="D5" s="46"/>
    </row>
    <row r="6" customFormat="false" ht="15" hidden="false" customHeight="false" outlineLevel="0" collapsed="false">
      <c r="B6" s="43" t="s">
        <v>228</v>
      </c>
      <c r="C6" s="62" t="n">
        <f aca="false">Revenue!E16</f>
        <v>1023000000</v>
      </c>
      <c r="D6" s="48"/>
    </row>
    <row r="7" customFormat="false" ht="15" hidden="false" customHeight="false" outlineLevel="0" collapsed="false">
      <c r="B7" s="41" t="s">
        <v>229</v>
      </c>
      <c r="C7" s="56" t="n">
        <f aca="false">Revenue!E18</f>
        <v>8280000</v>
      </c>
      <c r="D7" s="46"/>
    </row>
    <row r="8" customFormat="false" ht="15" hidden="false" customHeight="false" outlineLevel="0" collapsed="false">
      <c r="B8" s="38" t="s">
        <v>230</v>
      </c>
      <c r="C8" s="40" t="n">
        <f aca="false">Revenue!E20</f>
        <v>1508280000</v>
      </c>
      <c r="D8" s="49"/>
    </row>
    <row r="10" customFormat="false" ht="15" hidden="false" customHeight="false" outlineLevel="0" collapsed="false">
      <c r="A10" s="13" t="s">
        <v>231</v>
      </c>
      <c r="B10" s="13"/>
      <c r="C10" s="13"/>
      <c r="D10" s="13"/>
    </row>
    <row r="11" customFormat="false" ht="15" hidden="false" customHeight="false" outlineLevel="0" collapsed="false">
      <c r="B11" s="41" t="s">
        <v>232</v>
      </c>
      <c r="C11" s="56" t="n">
        <f aca="false">Dev_Cost!E9</f>
        <v>660000000</v>
      </c>
      <c r="D11" s="46"/>
    </row>
    <row r="12" customFormat="false" ht="15" hidden="false" customHeight="false" outlineLevel="0" collapsed="false">
      <c r="B12" s="43" t="s">
        <v>233</v>
      </c>
      <c r="C12" s="62" t="n">
        <f aca="false">Dev_Cost!D19</f>
        <v>79081921</v>
      </c>
      <c r="D12" s="48"/>
    </row>
    <row r="13" customFormat="false" ht="15" hidden="false" customHeight="false" outlineLevel="0" collapsed="false">
      <c r="B13" s="41" t="s">
        <v>234</v>
      </c>
      <c r="C13" s="56" t="n">
        <f aca="false">Dev_Cost!D24</f>
        <v>45248400</v>
      </c>
      <c r="D13" s="46"/>
    </row>
    <row r="14" customFormat="false" ht="15" hidden="false" customHeight="false" outlineLevel="0" collapsed="false">
      <c r="B14" s="38" t="s">
        <v>235</v>
      </c>
      <c r="C14" s="40" t="n">
        <f aca="false">Dev_Cost!D26</f>
        <v>784330321</v>
      </c>
      <c r="D14" s="49"/>
    </row>
    <row r="16" customFormat="false" ht="21.75" hidden="false" customHeight="true" outlineLevel="0" collapsed="false">
      <c r="B16" s="63" t="s">
        <v>236</v>
      </c>
      <c r="C16" s="64" t="n">
        <f aca="false">C8-C14</f>
        <v>723949679</v>
      </c>
      <c r="D16" s="5"/>
    </row>
    <row r="18" customFormat="false" ht="15" hidden="false" customHeight="false" outlineLevel="0" collapsed="false">
      <c r="A18" s="13" t="s">
        <v>237</v>
      </c>
      <c r="B18" s="13"/>
      <c r="C18" s="13"/>
      <c r="D18" s="13"/>
    </row>
    <row r="19" customFormat="false" ht="15" hidden="false" customHeight="false" outlineLevel="0" collapsed="false">
      <c r="B19" s="41" t="s">
        <v>238</v>
      </c>
      <c r="C19" s="60" t="n">
        <f aca="false">C16/C14</f>
        <v>0.923016310369059</v>
      </c>
      <c r="D19" s="46"/>
    </row>
    <row r="20" customFormat="false" ht="15" hidden="false" customHeight="false" outlineLevel="0" collapsed="false">
      <c r="B20" s="43" t="s">
        <v>239</v>
      </c>
      <c r="C20" s="59" t="n">
        <f aca="false">C16/C8</f>
        <v>0.479983609807198</v>
      </c>
      <c r="D20" s="48"/>
    </row>
    <row r="21" customFormat="false" ht="15" hidden="false" customHeight="false" outlineLevel="0" collapsed="false">
      <c r="B21" s="41" t="s">
        <v>240</v>
      </c>
      <c r="C21" s="65" t="n">
        <f aca="false">C8/C14</f>
        <v>1.92301631036906</v>
      </c>
      <c r="D21" s="46"/>
    </row>
    <row r="22" customFormat="false" ht="15" hidden="false" customHeight="false" outlineLevel="0" collapsed="false">
      <c r="B22" s="43" t="s">
        <v>241</v>
      </c>
      <c r="C22" s="37" t="n">
        <f aca="false">C16/69</f>
        <v>10492024.3333333</v>
      </c>
      <c r="D22" s="48"/>
    </row>
    <row r="23" customFormat="false" ht="15" hidden="false" customHeight="false" outlineLevel="0" collapsed="false">
      <c r="B23" s="41" t="s">
        <v>242</v>
      </c>
      <c r="C23" s="35" t="n">
        <f aca="false">C16/88</f>
        <v>8226700.89772727</v>
      </c>
      <c r="D23" s="46"/>
    </row>
    <row r="24" customFormat="false" ht="15" hidden="false" customHeight="false" outlineLevel="0" collapsed="false">
      <c r="B24" s="43" t="s">
        <v>243</v>
      </c>
      <c r="C24" s="37" t="n">
        <f aca="false">Revenue!E9</f>
        <v>477000000</v>
      </c>
      <c r="D24" s="48"/>
    </row>
    <row r="25" customFormat="false" ht="15" hidden="false" customHeight="false" outlineLevel="0" collapsed="false">
      <c r="B25" s="41" t="s">
        <v>244</v>
      </c>
      <c r="C25" s="60" t="n">
        <f aca="false">Revenue!E9/C14</f>
        <v>0.60816213173021</v>
      </c>
      <c r="D25" s="46"/>
    </row>
  </sheetData>
  <mergeCells count="3">
    <mergeCell ref="A4:D4"/>
    <mergeCell ref="A10:D10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5" min="3" style="0" width="13"/>
    <col collapsed="false" customWidth="true" hidden="false" outlineLevel="0" max="16" min="16" style="0" width="16"/>
  </cols>
  <sheetData>
    <row r="2" customFormat="false" ht="16.15" hidden="false" customHeight="false" outlineLevel="0" collapsed="false">
      <c r="B2" s="12" t="s">
        <v>245</v>
      </c>
    </row>
    <row r="4" customFormat="false" ht="19.5" hidden="false" customHeight="true" outlineLevel="0" collapsed="false">
      <c r="B4" s="66" t="s">
        <v>246</v>
      </c>
      <c r="C4" s="14" t="s">
        <v>247</v>
      </c>
      <c r="D4" s="14" t="s">
        <v>248</v>
      </c>
      <c r="E4" s="14" t="s">
        <v>249</v>
      </c>
      <c r="F4" s="14" t="s">
        <v>250</v>
      </c>
      <c r="G4" s="14" t="s">
        <v>251</v>
      </c>
      <c r="H4" s="14" t="s">
        <v>252</v>
      </c>
      <c r="I4" s="14" t="s">
        <v>253</v>
      </c>
      <c r="J4" s="14" t="s">
        <v>254</v>
      </c>
      <c r="K4" s="14" t="s">
        <v>255</v>
      </c>
      <c r="L4" s="14" t="s">
        <v>256</v>
      </c>
      <c r="M4" s="14" t="s">
        <v>257</v>
      </c>
      <c r="N4" s="14" t="s">
        <v>258</v>
      </c>
      <c r="O4" s="14" t="s">
        <v>259</v>
      </c>
      <c r="P4" s="14" t="s">
        <v>158</v>
      </c>
    </row>
    <row r="5" customFormat="false" ht="15" hidden="false" customHeight="false" outlineLevel="0" collapsed="false">
      <c r="A5" s="13" t="s">
        <v>260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false" ht="15" hidden="false" customHeight="false" outlineLevel="0" collapsed="false">
      <c r="B6" s="41" t="s">
        <v>261</v>
      </c>
      <c r="C6" s="45" t="n">
        <v>238500000</v>
      </c>
      <c r="D6" s="35" t="n">
        <v>0</v>
      </c>
      <c r="E6" s="35" t="n">
        <v>0</v>
      </c>
      <c r="F6" s="35" t="n">
        <v>0</v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f aca="false">SUM(C6:O6)</f>
        <v>238500000</v>
      </c>
    </row>
    <row r="7" customFormat="false" ht="15" hidden="false" customHeight="false" outlineLevel="0" collapsed="false">
      <c r="B7" s="41" t="s">
        <v>262</v>
      </c>
      <c r="C7" s="35" t="n">
        <v>0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45" t="n">
        <v>238500000</v>
      </c>
      <c r="P7" s="35" t="n">
        <f aca="false">SUM(C7:O7)</f>
        <v>238500000</v>
      </c>
    </row>
    <row r="8" customFormat="false" ht="15" hidden="false" customHeight="false" outlineLevel="0" collapsed="false">
      <c r="B8" s="41" t="s">
        <v>263</v>
      </c>
      <c r="C8" s="45" t="n">
        <v>20460000</v>
      </c>
      <c r="D8" s="45" t="n">
        <v>20460000</v>
      </c>
      <c r="E8" s="45" t="n">
        <v>20460000</v>
      </c>
      <c r="F8" s="45" t="n">
        <v>20460000</v>
      </c>
      <c r="G8" s="45" t="n">
        <v>20460000</v>
      </c>
      <c r="H8" s="45" t="n">
        <v>30690000</v>
      </c>
      <c r="I8" s="45" t="n">
        <v>51150000</v>
      </c>
      <c r="J8" s="45" t="n">
        <v>81840000</v>
      </c>
      <c r="K8" s="45" t="n">
        <v>102300000</v>
      </c>
      <c r="L8" s="45" t="n">
        <v>122760000</v>
      </c>
      <c r="M8" s="45" t="n">
        <v>153450000</v>
      </c>
      <c r="N8" s="45" t="n">
        <v>173910000</v>
      </c>
      <c r="O8" s="45" t="n">
        <v>204600000</v>
      </c>
      <c r="P8" s="35" t="n">
        <f aca="false">SUM(C8:O8)</f>
        <v>1023000000</v>
      </c>
    </row>
    <row r="9" customFormat="false" ht="15" hidden="false" customHeight="false" outlineLevel="0" collapsed="false">
      <c r="B9" s="41" t="s">
        <v>264</v>
      </c>
      <c r="C9" s="45" t="n">
        <v>8280000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f aca="false">SUM(C9:O9)</f>
        <v>8280000</v>
      </c>
    </row>
    <row r="10" customFormat="false" ht="15" hidden="false" customHeight="false" outlineLevel="0" collapsed="false">
      <c r="B10" s="38" t="s">
        <v>265</v>
      </c>
      <c r="C10" s="40" t="n">
        <f aca="false">SUM(C6:C9)</f>
        <v>267240000</v>
      </c>
      <c r="D10" s="40" t="n">
        <f aca="false">SUM(D6:D9)</f>
        <v>20460000</v>
      </c>
      <c r="E10" s="40" t="n">
        <f aca="false">SUM(E6:E9)</f>
        <v>20460000</v>
      </c>
      <c r="F10" s="40" t="n">
        <f aca="false">SUM(F6:F9)</f>
        <v>20460000</v>
      </c>
      <c r="G10" s="40" t="n">
        <f aca="false">SUM(G6:G9)</f>
        <v>20460000</v>
      </c>
      <c r="H10" s="40" t="n">
        <f aca="false">SUM(H6:H9)</f>
        <v>30690000</v>
      </c>
      <c r="I10" s="40" t="n">
        <f aca="false">SUM(I6:I9)</f>
        <v>51150000</v>
      </c>
      <c r="J10" s="40" t="n">
        <f aca="false">SUM(J6:J9)</f>
        <v>81840000</v>
      </c>
      <c r="K10" s="40" t="n">
        <f aca="false">SUM(K6:K9)</f>
        <v>102300000</v>
      </c>
      <c r="L10" s="40" t="n">
        <f aca="false">SUM(L6:L9)</f>
        <v>122760000</v>
      </c>
      <c r="M10" s="40" t="n">
        <f aca="false">SUM(M6:M9)</f>
        <v>153450000</v>
      </c>
      <c r="N10" s="40" t="n">
        <f aca="false">SUM(N6:N9)</f>
        <v>173910000</v>
      </c>
      <c r="O10" s="40" t="n">
        <f aca="false">SUM(O6:O9)</f>
        <v>443100000</v>
      </c>
      <c r="P10" s="40" t="n">
        <f aca="false">SUM(C10:O10)</f>
        <v>1508280000</v>
      </c>
    </row>
    <row r="12" customFormat="false" ht="15" hidden="false" customHeight="false" outlineLevel="0" collapsed="false">
      <c r="A12" s="13" t="s">
        <v>266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15" hidden="false" customHeight="false" outlineLevel="0" collapsed="false">
      <c r="B13" s="41" t="s">
        <v>232</v>
      </c>
      <c r="C13" s="45" t="n">
        <v>33000000</v>
      </c>
      <c r="D13" s="45" t="n">
        <v>66000000</v>
      </c>
      <c r="E13" s="45" t="n">
        <v>52800000</v>
      </c>
      <c r="F13" s="45" t="n">
        <v>52800000</v>
      </c>
      <c r="G13" s="45" t="n">
        <v>59400000</v>
      </c>
      <c r="H13" s="45" t="n">
        <v>59400000</v>
      </c>
      <c r="I13" s="45" t="n">
        <v>66000000</v>
      </c>
      <c r="J13" s="45" t="n">
        <v>66000000</v>
      </c>
      <c r="K13" s="45" t="n">
        <v>59400000</v>
      </c>
      <c r="L13" s="45" t="n">
        <v>52800000</v>
      </c>
      <c r="M13" s="45" t="n">
        <v>39600000</v>
      </c>
      <c r="N13" s="45" t="n">
        <v>26400000</v>
      </c>
      <c r="O13" s="45" t="n">
        <v>26400000</v>
      </c>
      <c r="P13" s="35" t="n">
        <f aca="false">SUM(C13:O13)</f>
        <v>660000000</v>
      </c>
    </row>
    <row r="14" customFormat="false" ht="15" hidden="false" customHeight="false" outlineLevel="0" collapsed="false">
      <c r="B14" s="41" t="s">
        <v>233</v>
      </c>
      <c r="C14" s="45" t="n">
        <v>7908292</v>
      </c>
      <c r="D14" s="45" t="n">
        <v>7908292</v>
      </c>
      <c r="E14" s="45" t="n">
        <v>6326634</v>
      </c>
      <c r="F14" s="45" t="n">
        <v>6326634</v>
      </c>
      <c r="G14" s="45" t="n">
        <v>6326634</v>
      </c>
      <c r="H14" s="45" t="n">
        <v>6326634</v>
      </c>
      <c r="I14" s="45" t="n">
        <v>6326634</v>
      </c>
      <c r="J14" s="45" t="n">
        <v>6326634</v>
      </c>
      <c r="K14" s="45" t="n">
        <v>6326634</v>
      </c>
      <c r="L14" s="45" t="n">
        <v>4744975</v>
      </c>
      <c r="M14" s="45" t="n">
        <v>4744975</v>
      </c>
      <c r="N14" s="45" t="n">
        <v>4744975</v>
      </c>
      <c r="O14" s="45" t="n">
        <v>4744975</v>
      </c>
      <c r="P14" s="35" t="n">
        <f aca="false">SUM(C14:O14)</f>
        <v>79082922</v>
      </c>
    </row>
    <row r="15" customFormat="false" ht="15" hidden="false" customHeight="false" outlineLevel="0" collapsed="false">
      <c r="B15" s="41" t="s">
        <v>267</v>
      </c>
      <c r="C15" s="45" t="n">
        <v>8017200</v>
      </c>
      <c r="D15" s="45" t="n">
        <v>613800</v>
      </c>
      <c r="E15" s="45" t="n">
        <v>613800</v>
      </c>
      <c r="F15" s="45" t="n">
        <v>613800</v>
      </c>
      <c r="G15" s="45" t="n">
        <v>613800</v>
      </c>
      <c r="H15" s="45" t="n">
        <v>920700</v>
      </c>
      <c r="I15" s="45" t="n">
        <v>1534500</v>
      </c>
      <c r="J15" s="45" t="n">
        <v>2455200</v>
      </c>
      <c r="K15" s="45" t="n">
        <v>3069000</v>
      </c>
      <c r="L15" s="45" t="n">
        <v>3682800</v>
      </c>
      <c r="M15" s="45" t="n">
        <v>4603500</v>
      </c>
      <c r="N15" s="45" t="n">
        <v>5217300</v>
      </c>
      <c r="O15" s="45" t="n">
        <v>13293000</v>
      </c>
      <c r="P15" s="35" t="n">
        <f aca="false">SUM(C15:O15)</f>
        <v>45248400</v>
      </c>
    </row>
    <row r="16" customFormat="false" ht="15" hidden="false" customHeight="false" outlineLevel="0" collapsed="false">
      <c r="B16" s="38" t="s">
        <v>268</v>
      </c>
      <c r="C16" s="40" t="n">
        <f aca="false">SUM(C13:C15)</f>
        <v>48925492</v>
      </c>
      <c r="D16" s="40" t="n">
        <f aca="false">SUM(D13:D15)</f>
        <v>74522092</v>
      </c>
      <c r="E16" s="40" t="n">
        <f aca="false">SUM(E13:E15)</f>
        <v>59740434</v>
      </c>
      <c r="F16" s="40" t="n">
        <f aca="false">SUM(F13:F15)</f>
        <v>59740434</v>
      </c>
      <c r="G16" s="40" t="n">
        <f aca="false">SUM(G13:G15)</f>
        <v>66340434</v>
      </c>
      <c r="H16" s="40" t="n">
        <f aca="false">SUM(H13:H15)</f>
        <v>66647334</v>
      </c>
      <c r="I16" s="40" t="n">
        <f aca="false">SUM(I13:I15)</f>
        <v>73861134</v>
      </c>
      <c r="J16" s="40" t="n">
        <f aca="false">SUM(J13:J15)</f>
        <v>74781834</v>
      </c>
      <c r="K16" s="40" t="n">
        <f aca="false">SUM(K13:K15)</f>
        <v>68795634</v>
      </c>
      <c r="L16" s="40" t="n">
        <f aca="false">SUM(L13:L15)</f>
        <v>61227775</v>
      </c>
      <c r="M16" s="40" t="n">
        <f aca="false">SUM(M13:M15)</f>
        <v>48948475</v>
      </c>
      <c r="N16" s="40" t="n">
        <f aca="false">SUM(N13:N15)</f>
        <v>36362275</v>
      </c>
      <c r="O16" s="40" t="n">
        <f aca="false">SUM(O13:O15)</f>
        <v>44437975</v>
      </c>
      <c r="P16" s="40" t="n">
        <f aca="false">SUM(C16:O16)</f>
        <v>784331322</v>
      </c>
    </row>
    <row r="17" customFormat="false" ht="19.5" hidden="false" customHeight="true" outlineLevel="0" collapsed="false">
      <c r="B17" s="31" t="s">
        <v>269</v>
      </c>
      <c r="C17" s="33" t="n">
        <f aca="false">C10-C16</f>
        <v>218314508</v>
      </c>
      <c r="D17" s="33" t="n">
        <f aca="false">D10-D16</f>
        <v>-54062092</v>
      </c>
      <c r="E17" s="33" t="n">
        <f aca="false">E10-E16</f>
        <v>-39280434</v>
      </c>
      <c r="F17" s="33" t="n">
        <f aca="false">F10-F16</f>
        <v>-39280434</v>
      </c>
      <c r="G17" s="33" t="n">
        <f aca="false">G10-G16</f>
        <v>-45880434</v>
      </c>
      <c r="H17" s="33" t="n">
        <f aca="false">H10-H16</f>
        <v>-35957334</v>
      </c>
      <c r="I17" s="33" t="n">
        <f aca="false">I10-I16</f>
        <v>-22711134</v>
      </c>
      <c r="J17" s="33" t="n">
        <f aca="false">J10-J16</f>
        <v>7058166</v>
      </c>
      <c r="K17" s="33" t="n">
        <f aca="false">K10-K16</f>
        <v>33504366</v>
      </c>
      <c r="L17" s="33" t="n">
        <f aca="false">L10-L16</f>
        <v>61532225</v>
      </c>
      <c r="M17" s="33" t="n">
        <f aca="false">M10-M16</f>
        <v>104501525</v>
      </c>
      <c r="N17" s="33" t="n">
        <f aca="false">N10-N16</f>
        <v>137547725</v>
      </c>
      <c r="O17" s="33" t="n">
        <f aca="false">O10-O16</f>
        <v>398662025</v>
      </c>
      <c r="P17" s="33" t="n">
        <f aca="false">SUM(C17:O17)</f>
        <v>723948678</v>
      </c>
    </row>
    <row r="18" customFormat="false" ht="15" hidden="false" customHeight="false" outlineLevel="0" collapsed="false">
      <c r="B18" s="38" t="s">
        <v>270</v>
      </c>
      <c r="C18" s="40" t="n">
        <f aca="false">C17</f>
        <v>218314508</v>
      </c>
      <c r="D18" s="40" t="n">
        <f aca="false">C18+D17</f>
        <v>164252416</v>
      </c>
      <c r="E18" s="40" t="n">
        <f aca="false">D18+E17</f>
        <v>124971982</v>
      </c>
      <c r="F18" s="40" t="n">
        <f aca="false">E18+F17</f>
        <v>85691548</v>
      </c>
      <c r="G18" s="40" t="n">
        <f aca="false">F18+G17</f>
        <v>39811114</v>
      </c>
      <c r="H18" s="40" t="n">
        <f aca="false">G18+H17</f>
        <v>3853780</v>
      </c>
      <c r="I18" s="40" t="n">
        <f aca="false">H18+I17</f>
        <v>-18857354</v>
      </c>
      <c r="J18" s="40" t="n">
        <f aca="false">I18+J17</f>
        <v>-11799188</v>
      </c>
      <c r="K18" s="40" t="n">
        <f aca="false">J18+K17</f>
        <v>21705178</v>
      </c>
      <c r="L18" s="40" t="n">
        <f aca="false">K18+L17</f>
        <v>83237403</v>
      </c>
      <c r="M18" s="40" t="n">
        <f aca="false">L18+M17</f>
        <v>187738928</v>
      </c>
      <c r="N18" s="40" t="n">
        <f aca="false">M18+N17</f>
        <v>325286653</v>
      </c>
      <c r="O18" s="40" t="n">
        <f aca="false">N18+O17</f>
        <v>723948678</v>
      </c>
      <c r="P18" s="49"/>
    </row>
  </sheetData>
  <mergeCells count="2">
    <mergeCell ref="A5:P5"/>
    <mergeCell ref="A12:P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20"/>
  </cols>
  <sheetData>
    <row r="2" customFormat="false" ht="16.15" hidden="false" customHeight="false" outlineLevel="0" collapsed="false">
      <c r="B2" s="12" t="s">
        <v>271</v>
      </c>
      <c r="C2" s="61" t="s">
        <v>272</v>
      </c>
    </row>
    <row r="4" customFormat="false" ht="15" hidden="false" customHeight="false" outlineLevel="0" collapsed="false">
      <c r="A4" s="13" t="s">
        <v>273</v>
      </c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169</v>
      </c>
      <c r="B5" s="14" t="s">
        <v>274</v>
      </c>
      <c r="C5" s="14" t="s">
        <v>275</v>
      </c>
      <c r="D5" s="14" t="s">
        <v>276</v>
      </c>
      <c r="E5" s="14" t="s">
        <v>277</v>
      </c>
      <c r="F5" s="14" t="s">
        <v>278</v>
      </c>
    </row>
    <row r="6" customFormat="false" ht="15" hidden="false" customHeight="false" outlineLevel="0" collapsed="false">
      <c r="B6" s="41" t="s">
        <v>184</v>
      </c>
      <c r="C6" s="45" t="n">
        <v>10000000</v>
      </c>
      <c r="D6" s="45" t="n">
        <v>13000000</v>
      </c>
      <c r="E6" s="35" t="n">
        <f aca="false">D6-C6</f>
        <v>3000000</v>
      </c>
      <c r="F6" s="60" t="n">
        <f aca="false">E6/C6</f>
        <v>0.3</v>
      </c>
    </row>
    <row r="7" customFormat="false" ht="15" hidden="false" customHeight="false" outlineLevel="0" collapsed="false">
      <c r="B7" s="43" t="s">
        <v>180</v>
      </c>
      <c r="C7" s="47" t="n">
        <v>17000000</v>
      </c>
      <c r="D7" s="47" t="n">
        <v>22000000</v>
      </c>
      <c r="E7" s="37" t="n">
        <f aca="false">D7-C7</f>
        <v>5000000</v>
      </c>
      <c r="F7" s="59" t="n">
        <f aca="false">E7/C7</f>
        <v>0.294117647058824</v>
      </c>
    </row>
    <row r="8" customFormat="false" ht="15" hidden="false" customHeight="false" outlineLevel="0" collapsed="false">
      <c r="B8" s="41" t="s">
        <v>174</v>
      </c>
      <c r="C8" s="45" t="n">
        <v>23000000</v>
      </c>
      <c r="D8" s="45" t="n">
        <v>30000000</v>
      </c>
      <c r="E8" s="35" t="n">
        <f aca="false">D8-C8</f>
        <v>7000000</v>
      </c>
      <c r="F8" s="60" t="n">
        <f aca="false">E8/C8</f>
        <v>0.304347826086957</v>
      </c>
    </row>
    <row r="11" customFormat="false" ht="15" hidden="false" customHeight="false" outlineLevel="0" collapsed="false">
      <c r="A11" s="13" t="s">
        <v>279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B12" s="41" t="s">
        <v>280</v>
      </c>
      <c r="C12" s="56" t="n">
        <f aca="false">PL_Summary!C8</f>
        <v>1508280000</v>
      </c>
      <c r="D12" s="46"/>
      <c r="E12" s="46"/>
      <c r="F12" s="46"/>
    </row>
    <row r="13" customFormat="false" ht="15" hidden="false" customHeight="false" outlineLevel="0" collapsed="false">
      <c r="B13" s="43" t="s">
        <v>281</v>
      </c>
      <c r="C13" s="62" t="n">
        <f aca="false">PL_Summary!C14</f>
        <v>784330321</v>
      </c>
      <c r="D13" s="48"/>
      <c r="E13" s="48"/>
      <c r="F13" s="48"/>
    </row>
    <row r="14" customFormat="false" ht="15" hidden="false" customHeight="false" outlineLevel="0" collapsed="false">
      <c r="B14" s="41" t="s">
        <v>282</v>
      </c>
      <c r="C14" s="56" t="n">
        <f aca="false">PL_Summary!C16</f>
        <v>723949679</v>
      </c>
      <c r="D14" s="46"/>
      <c r="E14" s="46"/>
      <c r="F14" s="46"/>
    </row>
    <row r="15" customFormat="false" ht="15" hidden="false" customHeight="false" outlineLevel="0" collapsed="false">
      <c r="B15" s="43" t="s">
        <v>283</v>
      </c>
      <c r="C15" s="67" t="n">
        <f aca="false">PL_Summary!C16/PL_Summary!C14</f>
        <v>0.923016310369059</v>
      </c>
      <c r="D15" s="48"/>
      <c r="E15" s="48"/>
      <c r="F15" s="48"/>
    </row>
    <row r="16" customFormat="false" ht="15" hidden="false" customHeight="false" outlineLevel="0" collapsed="false">
      <c r="B16" s="41" t="s">
        <v>284</v>
      </c>
      <c r="C16" s="68" t="n">
        <f aca="false">PL_Summary!C16/PL_Summary!C8</f>
        <v>0.479983609807198</v>
      </c>
      <c r="D16" s="46"/>
      <c r="E16" s="46"/>
      <c r="F16" s="46"/>
    </row>
    <row r="17" customFormat="false" ht="15" hidden="false" customHeight="false" outlineLevel="0" collapsed="false">
      <c r="B17" s="43" t="s">
        <v>285</v>
      </c>
      <c r="C17" s="69" t="n">
        <f aca="false">PL_Summary!C8/PL_Summary!C14</f>
        <v>1.92301631036906</v>
      </c>
      <c r="D17" s="48"/>
      <c r="E17" s="48"/>
      <c r="F17" s="48"/>
    </row>
    <row r="18" customFormat="false" ht="15" hidden="false" customHeight="false" outlineLevel="0" collapsed="false">
      <c r="B18" s="41" t="s">
        <v>286</v>
      </c>
      <c r="C18" s="70" t="s">
        <v>287</v>
      </c>
      <c r="D18" s="46"/>
      <c r="E18" s="46"/>
      <c r="F18" s="46"/>
    </row>
    <row r="19" customFormat="false" ht="15" hidden="false" customHeight="false" outlineLevel="0" collapsed="false">
      <c r="B19" s="43" t="s">
        <v>288</v>
      </c>
      <c r="C19" s="67" t="n">
        <f aca="false">1-(23000000/30000000)</f>
        <v>0.233333333333333</v>
      </c>
      <c r="D19" s="48"/>
      <c r="E19" s="48"/>
      <c r="F19" s="48"/>
    </row>
    <row r="20" customFormat="false" ht="15" hidden="false" customHeight="false" outlineLevel="0" collapsed="false">
      <c r="B20" s="41" t="s">
        <v>289</v>
      </c>
      <c r="C20" s="68" t="n">
        <f aca="false">1-(17000000/22000000)</f>
        <v>0.227272727272727</v>
      </c>
      <c r="D20" s="46"/>
      <c r="E20" s="46"/>
      <c r="F20" s="46"/>
    </row>
    <row r="21" customFormat="false" ht="15" hidden="false" customHeight="false" outlineLevel="0" collapsed="false">
      <c r="B21" s="43" t="s">
        <v>290</v>
      </c>
      <c r="C21" s="67" t="n">
        <f aca="false">1-(10000000/13000000)</f>
        <v>0.230769230769231</v>
      </c>
      <c r="D21" s="48"/>
      <c r="E21" s="48"/>
      <c r="F21" s="48"/>
    </row>
  </sheetData>
  <mergeCells count="2"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20"/>
  </cols>
  <sheetData>
    <row r="2" customFormat="false" ht="16.15" hidden="false" customHeight="false" outlineLevel="0" collapsed="false">
      <c r="B2" s="12" t="s">
        <v>291</v>
      </c>
    </row>
    <row r="4" customFormat="false" ht="15" hidden="false" customHeight="false" outlineLevel="0" collapsed="false">
      <c r="A4" s="14" t="s">
        <v>292</v>
      </c>
      <c r="B4" s="14" t="s">
        <v>168</v>
      </c>
      <c r="C4" s="14" t="s">
        <v>293</v>
      </c>
      <c r="D4" s="14" t="s">
        <v>294</v>
      </c>
      <c r="E4" s="14" t="s">
        <v>295</v>
      </c>
      <c r="F4" s="14" t="s">
        <v>9</v>
      </c>
      <c r="G4" s="14" t="s">
        <v>296</v>
      </c>
      <c r="H4" s="14" t="s">
        <v>297</v>
      </c>
    </row>
    <row r="5" customFormat="false" ht="15" hidden="false" customHeight="false" outlineLevel="0" collapsed="false">
      <c r="B5" s="71" t="s">
        <v>298</v>
      </c>
      <c r="C5" s="71" t="s">
        <v>173</v>
      </c>
      <c r="D5" s="72" t="s">
        <v>147</v>
      </c>
      <c r="E5" s="72" t="n">
        <v>1</v>
      </c>
      <c r="F5" s="73" t="s">
        <v>299</v>
      </c>
      <c r="G5" s="72" t="s">
        <v>300</v>
      </c>
      <c r="H5" s="74" t="n">
        <v>23000000</v>
      </c>
      <c r="I5" s="75"/>
    </row>
    <row r="6" customFormat="false" ht="15" hidden="false" customHeight="false" outlineLevel="0" collapsed="false">
      <c r="B6" s="71" t="s">
        <v>301</v>
      </c>
      <c r="C6" s="71" t="s">
        <v>173</v>
      </c>
      <c r="D6" s="72" t="s">
        <v>147</v>
      </c>
      <c r="E6" s="72" t="n">
        <v>1</v>
      </c>
      <c r="F6" s="73" t="s">
        <v>299</v>
      </c>
      <c r="G6" s="72" t="s">
        <v>300</v>
      </c>
      <c r="H6" s="74" t="n">
        <v>23000000</v>
      </c>
      <c r="I6" s="75"/>
    </row>
    <row r="7" customFormat="false" ht="15" hidden="false" customHeight="false" outlineLevel="0" collapsed="false">
      <c r="B7" s="71" t="s">
        <v>302</v>
      </c>
      <c r="C7" s="71" t="s">
        <v>173</v>
      </c>
      <c r="D7" s="72" t="s">
        <v>147</v>
      </c>
      <c r="E7" s="72" t="n">
        <v>2</v>
      </c>
      <c r="F7" s="73" t="s">
        <v>299</v>
      </c>
      <c r="G7" s="72" t="s">
        <v>300</v>
      </c>
      <c r="H7" s="74" t="n">
        <v>23000000</v>
      </c>
      <c r="I7" s="75"/>
    </row>
    <row r="8" customFormat="false" ht="15" hidden="false" customHeight="false" outlineLevel="0" collapsed="false">
      <c r="B8" s="71" t="s">
        <v>303</v>
      </c>
      <c r="C8" s="71" t="s">
        <v>173</v>
      </c>
      <c r="D8" s="72" t="s">
        <v>147</v>
      </c>
      <c r="E8" s="72" t="n">
        <v>2</v>
      </c>
      <c r="F8" s="73" t="s">
        <v>299</v>
      </c>
      <c r="G8" s="72" t="s">
        <v>300</v>
      </c>
      <c r="H8" s="74" t="n">
        <v>23000000</v>
      </c>
      <c r="I8" s="75"/>
    </row>
    <row r="9" customFormat="false" ht="15" hidden="false" customHeight="false" outlineLevel="0" collapsed="false">
      <c r="B9" s="71" t="s">
        <v>304</v>
      </c>
      <c r="C9" s="71" t="s">
        <v>173</v>
      </c>
      <c r="D9" s="72" t="s">
        <v>147</v>
      </c>
      <c r="E9" s="72" t="n">
        <v>3</v>
      </c>
      <c r="F9" s="73" t="s">
        <v>299</v>
      </c>
      <c r="G9" s="72" t="s">
        <v>300</v>
      </c>
      <c r="H9" s="74" t="n">
        <v>23000000</v>
      </c>
      <c r="I9" s="75"/>
    </row>
    <row r="10" customFormat="false" ht="15" hidden="false" customHeight="false" outlineLevel="0" collapsed="false">
      <c r="B10" s="71" t="s">
        <v>305</v>
      </c>
      <c r="C10" s="71" t="s">
        <v>173</v>
      </c>
      <c r="D10" s="72" t="s">
        <v>147</v>
      </c>
      <c r="E10" s="72" t="n">
        <v>3</v>
      </c>
      <c r="F10" s="73" t="s">
        <v>299</v>
      </c>
      <c r="G10" s="72" t="s">
        <v>300</v>
      </c>
      <c r="H10" s="74" t="n">
        <v>23000000</v>
      </c>
      <c r="I10" s="75"/>
    </row>
    <row r="11" customFormat="false" ht="15" hidden="false" customHeight="false" outlineLevel="0" collapsed="false">
      <c r="B11" s="71" t="s">
        <v>306</v>
      </c>
      <c r="C11" s="71" t="s">
        <v>173</v>
      </c>
      <c r="D11" s="72" t="s">
        <v>147</v>
      </c>
      <c r="E11" s="72" t="n">
        <v>4</v>
      </c>
      <c r="F11" s="73" t="s">
        <v>299</v>
      </c>
      <c r="G11" s="72" t="s">
        <v>300</v>
      </c>
      <c r="H11" s="74" t="n">
        <v>23000000</v>
      </c>
      <c r="I11" s="75"/>
    </row>
    <row r="12" customFormat="false" ht="15" hidden="false" customHeight="false" outlineLevel="0" collapsed="false">
      <c r="B12" s="71" t="s">
        <v>307</v>
      </c>
      <c r="C12" s="71" t="s">
        <v>173</v>
      </c>
      <c r="D12" s="72" t="s">
        <v>147</v>
      </c>
      <c r="E12" s="72" t="n">
        <v>4</v>
      </c>
      <c r="F12" s="73" t="s">
        <v>299</v>
      </c>
      <c r="G12" s="72" t="s">
        <v>300</v>
      </c>
      <c r="H12" s="74" t="n">
        <v>23000000</v>
      </c>
      <c r="I12" s="75"/>
    </row>
    <row r="13" customFormat="false" ht="15" hidden="false" customHeight="false" outlineLevel="0" collapsed="false">
      <c r="B13" s="71" t="s">
        <v>308</v>
      </c>
      <c r="C13" s="71" t="s">
        <v>173</v>
      </c>
      <c r="D13" s="72" t="s">
        <v>147</v>
      </c>
      <c r="E13" s="72" t="n">
        <v>5</v>
      </c>
      <c r="F13" s="73" t="s">
        <v>299</v>
      </c>
      <c r="G13" s="72" t="s">
        <v>300</v>
      </c>
      <c r="H13" s="74" t="n">
        <v>23000000</v>
      </c>
      <c r="I13" s="75"/>
    </row>
    <row r="14" customFormat="false" ht="15" hidden="false" customHeight="false" outlineLevel="0" collapsed="false">
      <c r="B14" s="76" t="s">
        <v>309</v>
      </c>
      <c r="C14" s="76" t="s">
        <v>173</v>
      </c>
      <c r="D14" s="77" t="s">
        <v>147</v>
      </c>
      <c r="E14" s="77" t="n">
        <v>5</v>
      </c>
      <c r="F14" s="78" t="s">
        <v>164</v>
      </c>
      <c r="G14" s="77" t="s">
        <v>310</v>
      </c>
      <c r="H14" s="79" t="n">
        <v>23000000</v>
      </c>
      <c r="I14" s="80"/>
    </row>
    <row r="15" customFormat="false" ht="15" hidden="false" customHeight="false" outlineLevel="0" collapsed="false">
      <c r="B15" s="76" t="s">
        <v>311</v>
      </c>
      <c r="C15" s="76" t="s">
        <v>173</v>
      </c>
      <c r="D15" s="77" t="s">
        <v>147</v>
      </c>
      <c r="E15" s="77" t="n">
        <v>6</v>
      </c>
      <c r="F15" s="78" t="s">
        <v>164</v>
      </c>
      <c r="G15" s="77" t="s">
        <v>310</v>
      </c>
      <c r="H15" s="79" t="n">
        <v>23000000</v>
      </c>
      <c r="I15" s="80"/>
    </row>
    <row r="16" customFormat="false" ht="15" hidden="false" customHeight="false" outlineLevel="0" collapsed="false">
      <c r="B16" s="76" t="s">
        <v>312</v>
      </c>
      <c r="C16" s="76" t="s">
        <v>173</v>
      </c>
      <c r="D16" s="77" t="s">
        <v>147</v>
      </c>
      <c r="E16" s="77" t="n">
        <v>6</v>
      </c>
      <c r="F16" s="78" t="s">
        <v>164</v>
      </c>
      <c r="G16" s="77" t="s">
        <v>310</v>
      </c>
      <c r="H16" s="79" t="n">
        <v>23000000</v>
      </c>
      <c r="I16" s="80"/>
    </row>
    <row r="17" customFormat="false" ht="15" hidden="false" customHeight="false" outlineLevel="0" collapsed="false">
      <c r="B17" s="76" t="s">
        <v>313</v>
      </c>
      <c r="C17" s="76" t="s">
        <v>173</v>
      </c>
      <c r="D17" s="77" t="s">
        <v>147</v>
      </c>
      <c r="E17" s="77" t="n">
        <v>7</v>
      </c>
      <c r="F17" s="78" t="s">
        <v>164</v>
      </c>
      <c r="G17" s="77" t="s">
        <v>310</v>
      </c>
      <c r="H17" s="79" t="n">
        <v>23000000</v>
      </c>
      <c r="I17" s="80"/>
    </row>
    <row r="18" customFormat="false" ht="15" hidden="false" customHeight="false" outlineLevel="0" collapsed="false">
      <c r="B18" s="76" t="s">
        <v>314</v>
      </c>
      <c r="C18" s="76" t="s">
        <v>173</v>
      </c>
      <c r="D18" s="77" t="s">
        <v>147</v>
      </c>
      <c r="E18" s="77" t="n">
        <v>7</v>
      </c>
      <c r="F18" s="78" t="s">
        <v>164</v>
      </c>
      <c r="G18" s="77" t="s">
        <v>310</v>
      </c>
      <c r="H18" s="79" t="n">
        <v>23000000</v>
      </c>
      <c r="I18" s="80"/>
    </row>
    <row r="19" customFormat="false" ht="15" hidden="false" customHeight="false" outlineLevel="0" collapsed="false">
      <c r="B19" s="76" t="s">
        <v>315</v>
      </c>
      <c r="C19" s="76" t="s">
        <v>173</v>
      </c>
      <c r="D19" s="77" t="s">
        <v>147</v>
      </c>
      <c r="E19" s="77" t="n">
        <v>8</v>
      </c>
      <c r="F19" s="78" t="s">
        <v>164</v>
      </c>
      <c r="G19" s="77" t="s">
        <v>310</v>
      </c>
      <c r="H19" s="79" t="n">
        <v>23000000</v>
      </c>
      <c r="I19" s="80"/>
    </row>
    <row r="20" customFormat="false" ht="15" hidden="false" customHeight="false" outlineLevel="0" collapsed="false">
      <c r="B20" s="76" t="s">
        <v>316</v>
      </c>
      <c r="C20" s="76" t="s">
        <v>173</v>
      </c>
      <c r="D20" s="77" t="s">
        <v>147</v>
      </c>
      <c r="E20" s="77" t="n">
        <v>8</v>
      </c>
      <c r="F20" s="78" t="s">
        <v>164</v>
      </c>
      <c r="G20" s="77" t="s">
        <v>310</v>
      </c>
      <c r="H20" s="79" t="n">
        <v>23000000</v>
      </c>
      <c r="I20" s="80"/>
    </row>
    <row r="21" customFormat="false" ht="15" hidden="false" customHeight="false" outlineLevel="0" collapsed="false">
      <c r="B21" s="76" t="s">
        <v>317</v>
      </c>
      <c r="C21" s="76" t="s">
        <v>173</v>
      </c>
      <c r="D21" s="77" t="s">
        <v>147</v>
      </c>
      <c r="E21" s="77" t="n">
        <v>9</v>
      </c>
      <c r="F21" s="78" t="s">
        <v>164</v>
      </c>
      <c r="G21" s="77" t="s">
        <v>310</v>
      </c>
      <c r="H21" s="79" t="n">
        <v>23000000</v>
      </c>
      <c r="I21" s="80"/>
    </row>
    <row r="22" customFormat="false" ht="15" hidden="false" customHeight="false" outlineLevel="0" collapsed="false">
      <c r="B22" s="76" t="s">
        <v>318</v>
      </c>
      <c r="C22" s="76" t="s">
        <v>173</v>
      </c>
      <c r="D22" s="77" t="s">
        <v>147</v>
      </c>
      <c r="E22" s="77" t="n">
        <v>9</v>
      </c>
      <c r="F22" s="78" t="s">
        <v>164</v>
      </c>
      <c r="G22" s="77" t="s">
        <v>310</v>
      </c>
      <c r="H22" s="79" t="n">
        <v>23000000</v>
      </c>
      <c r="I22" s="80"/>
    </row>
    <row r="23" customFormat="false" ht="15" hidden="false" customHeight="false" outlineLevel="0" collapsed="false">
      <c r="B23" s="76" t="s">
        <v>319</v>
      </c>
      <c r="C23" s="76" t="s">
        <v>173</v>
      </c>
      <c r="D23" s="77" t="s">
        <v>147</v>
      </c>
      <c r="E23" s="77" t="n">
        <v>10</v>
      </c>
      <c r="F23" s="78" t="s">
        <v>164</v>
      </c>
      <c r="G23" s="77" t="s">
        <v>310</v>
      </c>
      <c r="H23" s="79" t="n">
        <v>23000000</v>
      </c>
      <c r="I23" s="80"/>
    </row>
    <row r="24" customFormat="false" ht="15" hidden="false" customHeight="false" outlineLevel="0" collapsed="false">
      <c r="B24" s="76" t="s">
        <v>320</v>
      </c>
      <c r="C24" s="76" t="s">
        <v>173</v>
      </c>
      <c r="D24" s="77" t="s">
        <v>147</v>
      </c>
      <c r="E24" s="77" t="n">
        <v>10</v>
      </c>
      <c r="F24" s="78" t="s">
        <v>164</v>
      </c>
      <c r="G24" s="77" t="s">
        <v>310</v>
      </c>
      <c r="H24" s="79" t="n">
        <v>23000000</v>
      </c>
      <c r="I24" s="80"/>
    </row>
    <row r="25" customFormat="false" ht="15" hidden="false" customHeight="false" outlineLevel="0" collapsed="false">
      <c r="B25" s="76" t="s">
        <v>321</v>
      </c>
      <c r="C25" s="76" t="s">
        <v>173</v>
      </c>
      <c r="D25" s="77" t="s">
        <v>147</v>
      </c>
      <c r="E25" s="77" t="n">
        <v>11</v>
      </c>
      <c r="F25" s="78" t="s">
        <v>164</v>
      </c>
      <c r="G25" s="77" t="s">
        <v>310</v>
      </c>
      <c r="H25" s="79" t="n">
        <v>23000000</v>
      </c>
      <c r="I25" s="80"/>
    </row>
    <row r="26" customFormat="false" ht="15" hidden="false" customHeight="false" outlineLevel="0" collapsed="false">
      <c r="B26" s="76" t="s">
        <v>322</v>
      </c>
      <c r="C26" s="76" t="s">
        <v>173</v>
      </c>
      <c r="D26" s="77" t="s">
        <v>147</v>
      </c>
      <c r="E26" s="77" t="n">
        <v>11</v>
      </c>
      <c r="F26" s="78" t="s">
        <v>164</v>
      </c>
      <c r="G26" s="77" t="s">
        <v>310</v>
      </c>
      <c r="H26" s="79" t="n">
        <v>23000000</v>
      </c>
      <c r="I26" s="80"/>
    </row>
    <row r="27" customFormat="false" ht="15" hidden="false" customHeight="false" outlineLevel="0" collapsed="false">
      <c r="B27" s="76" t="s">
        <v>323</v>
      </c>
      <c r="C27" s="76" t="s">
        <v>178</v>
      </c>
      <c r="D27" s="77" t="s">
        <v>147</v>
      </c>
      <c r="E27" s="77" t="n">
        <v>1</v>
      </c>
      <c r="F27" s="78" t="s">
        <v>164</v>
      </c>
      <c r="G27" s="77" t="s">
        <v>310</v>
      </c>
      <c r="H27" s="79" t="n">
        <v>23000000</v>
      </c>
      <c r="I27" s="80"/>
    </row>
    <row r="28" customFormat="false" ht="15" hidden="false" customHeight="false" outlineLevel="0" collapsed="false">
      <c r="B28" s="76" t="s">
        <v>324</v>
      </c>
      <c r="C28" s="76" t="s">
        <v>178</v>
      </c>
      <c r="D28" s="77" t="s">
        <v>147</v>
      </c>
      <c r="E28" s="77" t="n">
        <v>1</v>
      </c>
      <c r="F28" s="78" t="s">
        <v>164</v>
      </c>
      <c r="G28" s="77" t="s">
        <v>310</v>
      </c>
      <c r="H28" s="79" t="n">
        <v>23000000</v>
      </c>
      <c r="I28" s="80"/>
    </row>
    <row r="29" customFormat="false" ht="15" hidden="false" customHeight="false" outlineLevel="0" collapsed="false">
      <c r="B29" s="76" t="s">
        <v>325</v>
      </c>
      <c r="C29" s="76" t="s">
        <v>178</v>
      </c>
      <c r="D29" s="77" t="s">
        <v>147</v>
      </c>
      <c r="E29" s="77" t="n">
        <v>2</v>
      </c>
      <c r="F29" s="78" t="s">
        <v>164</v>
      </c>
      <c r="G29" s="77" t="s">
        <v>310</v>
      </c>
      <c r="H29" s="79" t="n">
        <v>23000000</v>
      </c>
      <c r="I29" s="80"/>
    </row>
    <row r="30" customFormat="false" ht="15" hidden="false" customHeight="false" outlineLevel="0" collapsed="false">
      <c r="B30" s="76" t="s">
        <v>326</v>
      </c>
      <c r="C30" s="76" t="s">
        <v>178</v>
      </c>
      <c r="D30" s="77" t="s">
        <v>147</v>
      </c>
      <c r="E30" s="77" t="n">
        <v>2</v>
      </c>
      <c r="F30" s="78" t="s">
        <v>164</v>
      </c>
      <c r="G30" s="77" t="s">
        <v>310</v>
      </c>
      <c r="H30" s="79" t="n">
        <v>23000000</v>
      </c>
      <c r="I30" s="80"/>
    </row>
    <row r="31" customFormat="false" ht="15" hidden="false" customHeight="false" outlineLevel="0" collapsed="false">
      <c r="B31" s="76" t="s">
        <v>327</v>
      </c>
      <c r="C31" s="76" t="s">
        <v>178</v>
      </c>
      <c r="D31" s="77" t="s">
        <v>147</v>
      </c>
      <c r="E31" s="77" t="n">
        <v>3</v>
      </c>
      <c r="F31" s="78" t="s">
        <v>164</v>
      </c>
      <c r="G31" s="77" t="s">
        <v>310</v>
      </c>
      <c r="H31" s="79" t="n">
        <v>23000000</v>
      </c>
      <c r="I31" s="80"/>
    </row>
    <row r="32" customFormat="false" ht="15" hidden="false" customHeight="false" outlineLevel="0" collapsed="false">
      <c r="B32" s="76" t="s">
        <v>328</v>
      </c>
      <c r="C32" s="76" t="s">
        <v>178</v>
      </c>
      <c r="D32" s="77" t="s">
        <v>147</v>
      </c>
      <c r="E32" s="77" t="n">
        <v>3</v>
      </c>
      <c r="F32" s="78" t="s">
        <v>164</v>
      </c>
      <c r="G32" s="77" t="s">
        <v>310</v>
      </c>
      <c r="H32" s="79" t="n">
        <v>23000000</v>
      </c>
      <c r="I32" s="80"/>
    </row>
    <row r="33" customFormat="false" ht="15" hidden="false" customHeight="false" outlineLevel="0" collapsed="false">
      <c r="B33" s="76" t="s">
        <v>329</v>
      </c>
      <c r="C33" s="76" t="s">
        <v>178</v>
      </c>
      <c r="D33" s="77" t="s">
        <v>147</v>
      </c>
      <c r="E33" s="77" t="n">
        <v>4</v>
      </c>
      <c r="F33" s="78" t="s">
        <v>164</v>
      </c>
      <c r="G33" s="77" t="s">
        <v>310</v>
      </c>
      <c r="H33" s="79" t="n">
        <v>23000000</v>
      </c>
      <c r="I33" s="80"/>
    </row>
    <row r="34" customFormat="false" ht="15" hidden="false" customHeight="false" outlineLevel="0" collapsed="false">
      <c r="B34" s="81" t="s">
        <v>330</v>
      </c>
      <c r="C34" s="81" t="s">
        <v>178</v>
      </c>
      <c r="D34" s="82" t="s">
        <v>147</v>
      </c>
      <c r="E34" s="82" t="n">
        <v>4</v>
      </c>
      <c r="F34" s="83" t="s">
        <v>165</v>
      </c>
      <c r="G34" s="82" t="s">
        <v>310</v>
      </c>
      <c r="H34" s="84" t="n">
        <v>30000000</v>
      </c>
      <c r="I34" s="85"/>
    </row>
    <row r="35" customFormat="false" ht="15" hidden="false" customHeight="false" outlineLevel="0" collapsed="false">
      <c r="B35" s="81" t="s">
        <v>331</v>
      </c>
      <c r="C35" s="81" t="s">
        <v>178</v>
      </c>
      <c r="D35" s="82" t="s">
        <v>147</v>
      </c>
      <c r="E35" s="82" t="n">
        <v>5</v>
      </c>
      <c r="F35" s="83" t="s">
        <v>165</v>
      </c>
      <c r="G35" s="82" t="s">
        <v>310</v>
      </c>
      <c r="H35" s="84" t="n">
        <v>30000000</v>
      </c>
      <c r="I35" s="85"/>
    </row>
    <row r="36" customFormat="false" ht="15" hidden="false" customHeight="false" outlineLevel="0" collapsed="false">
      <c r="B36" s="81" t="s">
        <v>332</v>
      </c>
      <c r="C36" s="81" t="s">
        <v>178</v>
      </c>
      <c r="D36" s="82" t="s">
        <v>147</v>
      </c>
      <c r="E36" s="82" t="n">
        <v>5</v>
      </c>
      <c r="F36" s="83" t="s">
        <v>165</v>
      </c>
      <c r="G36" s="82" t="s">
        <v>310</v>
      </c>
      <c r="H36" s="84" t="n">
        <v>30000000</v>
      </c>
      <c r="I36" s="85"/>
    </row>
    <row r="37" customFormat="false" ht="15" hidden="false" customHeight="false" outlineLevel="0" collapsed="false">
      <c r="B37" s="81" t="s">
        <v>333</v>
      </c>
      <c r="C37" s="81" t="s">
        <v>178</v>
      </c>
      <c r="D37" s="82" t="s">
        <v>147</v>
      </c>
      <c r="E37" s="82" t="n">
        <v>6</v>
      </c>
      <c r="F37" s="83" t="s">
        <v>165</v>
      </c>
      <c r="G37" s="82" t="s">
        <v>310</v>
      </c>
      <c r="H37" s="84" t="n">
        <v>30000000</v>
      </c>
      <c r="I37" s="85"/>
    </row>
    <row r="38" customFormat="false" ht="15" hidden="false" customHeight="false" outlineLevel="0" collapsed="false">
      <c r="B38" s="81" t="s">
        <v>334</v>
      </c>
      <c r="C38" s="81" t="s">
        <v>178</v>
      </c>
      <c r="D38" s="82" t="s">
        <v>147</v>
      </c>
      <c r="E38" s="82" t="n">
        <v>6</v>
      </c>
      <c r="F38" s="83" t="s">
        <v>165</v>
      </c>
      <c r="G38" s="82" t="s">
        <v>310</v>
      </c>
      <c r="H38" s="84" t="n">
        <v>30000000</v>
      </c>
      <c r="I38" s="85"/>
    </row>
    <row r="39" customFormat="false" ht="15" hidden="false" customHeight="false" outlineLevel="0" collapsed="false">
      <c r="B39" s="81" t="s">
        <v>335</v>
      </c>
      <c r="C39" s="81" t="s">
        <v>178</v>
      </c>
      <c r="D39" s="82" t="s">
        <v>147</v>
      </c>
      <c r="E39" s="82" t="n">
        <v>7</v>
      </c>
      <c r="F39" s="83" t="s">
        <v>165</v>
      </c>
      <c r="G39" s="82" t="s">
        <v>310</v>
      </c>
      <c r="H39" s="84" t="n">
        <v>30000000</v>
      </c>
      <c r="I39" s="85"/>
    </row>
    <row r="40" customFormat="false" ht="15" hidden="false" customHeight="false" outlineLevel="0" collapsed="false">
      <c r="B40" s="81" t="s">
        <v>336</v>
      </c>
      <c r="C40" s="81" t="s">
        <v>178</v>
      </c>
      <c r="D40" s="82" t="s">
        <v>147</v>
      </c>
      <c r="E40" s="82" t="n">
        <v>7</v>
      </c>
      <c r="F40" s="83" t="s">
        <v>165</v>
      </c>
      <c r="G40" s="82" t="s">
        <v>310</v>
      </c>
      <c r="H40" s="84" t="n">
        <v>30000000</v>
      </c>
      <c r="I40" s="85"/>
    </row>
    <row r="41" customFormat="false" ht="15" hidden="false" customHeight="false" outlineLevel="0" collapsed="false">
      <c r="B41" s="81" t="s">
        <v>337</v>
      </c>
      <c r="C41" s="81" t="s">
        <v>178</v>
      </c>
      <c r="D41" s="82" t="s">
        <v>147</v>
      </c>
      <c r="E41" s="82" t="n">
        <v>8</v>
      </c>
      <c r="F41" s="83" t="s">
        <v>165</v>
      </c>
      <c r="G41" s="82" t="s">
        <v>310</v>
      </c>
      <c r="H41" s="84" t="n">
        <v>30000000</v>
      </c>
      <c r="I41" s="85"/>
    </row>
    <row r="42" customFormat="false" ht="15" hidden="false" customHeight="false" outlineLevel="0" collapsed="false">
      <c r="B42" s="81" t="s">
        <v>338</v>
      </c>
      <c r="C42" s="81" t="s">
        <v>178</v>
      </c>
      <c r="D42" s="82" t="s">
        <v>147</v>
      </c>
      <c r="E42" s="82" t="n">
        <v>8</v>
      </c>
      <c r="F42" s="83" t="s">
        <v>165</v>
      </c>
      <c r="G42" s="82" t="s">
        <v>310</v>
      </c>
      <c r="H42" s="84" t="n">
        <v>30000000</v>
      </c>
      <c r="I42" s="85"/>
    </row>
    <row r="43" customFormat="false" ht="15" hidden="false" customHeight="false" outlineLevel="0" collapsed="false">
      <c r="B43" s="81" t="s">
        <v>339</v>
      </c>
      <c r="C43" s="81" t="s">
        <v>178</v>
      </c>
      <c r="D43" s="82" t="s">
        <v>147</v>
      </c>
      <c r="E43" s="82" t="n">
        <v>9</v>
      </c>
      <c r="F43" s="83" t="s">
        <v>165</v>
      </c>
      <c r="G43" s="82" t="s">
        <v>310</v>
      </c>
      <c r="H43" s="84" t="n">
        <v>30000000</v>
      </c>
      <c r="I43" s="85"/>
    </row>
    <row r="44" customFormat="false" ht="15" hidden="false" customHeight="false" outlineLevel="0" collapsed="false">
      <c r="B44" s="81" t="s">
        <v>340</v>
      </c>
      <c r="C44" s="81" t="s">
        <v>178</v>
      </c>
      <c r="D44" s="82" t="s">
        <v>147</v>
      </c>
      <c r="E44" s="82" t="n">
        <v>9</v>
      </c>
      <c r="F44" s="83" t="s">
        <v>165</v>
      </c>
      <c r="G44" s="82" t="s">
        <v>310</v>
      </c>
      <c r="H44" s="84" t="n">
        <v>30000000</v>
      </c>
      <c r="I44" s="85"/>
    </row>
    <row r="45" customFormat="false" ht="15" hidden="false" customHeight="false" outlineLevel="0" collapsed="false">
      <c r="B45" s="81" t="s">
        <v>341</v>
      </c>
      <c r="C45" s="81" t="s">
        <v>178</v>
      </c>
      <c r="D45" s="82" t="s">
        <v>147</v>
      </c>
      <c r="E45" s="82" t="n">
        <v>10</v>
      </c>
      <c r="F45" s="83" t="s">
        <v>165</v>
      </c>
      <c r="G45" s="82" t="s">
        <v>310</v>
      </c>
      <c r="H45" s="84" t="n">
        <v>30000000</v>
      </c>
      <c r="I45" s="85"/>
    </row>
    <row r="46" customFormat="false" ht="15" hidden="false" customHeight="false" outlineLevel="0" collapsed="false">
      <c r="B46" s="81" t="s">
        <v>342</v>
      </c>
      <c r="C46" s="81" t="s">
        <v>178</v>
      </c>
      <c r="D46" s="82" t="s">
        <v>147</v>
      </c>
      <c r="E46" s="82" t="n">
        <v>10</v>
      </c>
      <c r="F46" s="83" t="s">
        <v>165</v>
      </c>
      <c r="G46" s="82" t="s">
        <v>310</v>
      </c>
      <c r="H46" s="84" t="n">
        <v>30000000</v>
      </c>
      <c r="I46" s="85"/>
    </row>
    <row r="47" customFormat="false" ht="15" hidden="false" customHeight="false" outlineLevel="0" collapsed="false">
      <c r="B47" s="81" t="s">
        <v>343</v>
      </c>
      <c r="C47" s="81" t="s">
        <v>178</v>
      </c>
      <c r="D47" s="82" t="s">
        <v>147</v>
      </c>
      <c r="E47" s="82" t="n">
        <v>11</v>
      </c>
      <c r="F47" s="83" t="s">
        <v>165</v>
      </c>
      <c r="G47" s="82" t="s">
        <v>310</v>
      </c>
      <c r="H47" s="84" t="n">
        <v>30000000</v>
      </c>
      <c r="I47" s="85"/>
    </row>
    <row r="48" customFormat="false" ht="15" hidden="false" customHeight="false" outlineLevel="0" collapsed="false">
      <c r="B48" s="81" t="s">
        <v>344</v>
      </c>
      <c r="C48" s="81" t="s">
        <v>178</v>
      </c>
      <c r="D48" s="82" t="s">
        <v>147</v>
      </c>
      <c r="E48" s="82" t="n">
        <v>11</v>
      </c>
      <c r="F48" s="83" t="s">
        <v>165</v>
      </c>
      <c r="G48" s="82" t="s">
        <v>310</v>
      </c>
      <c r="H48" s="84" t="n">
        <v>30000000</v>
      </c>
      <c r="I48" s="85"/>
    </row>
    <row r="49" customFormat="false" ht="15" hidden="false" customHeight="false" outlineLevel="0" collapsed="false">
      <c r="B49" s="71" t="s">
        <v>345</v>
      </c>
      <c r="C49" s="71" t="s">
        <v>179</v>
      </c>
      <c r="D49" s="72" t="s">
        <v>146</v>
      </c>
      <c r="E49" s="72" t="n">
        <v>1</v>
      </c>
      <c r="F49" s="73" t="s">
        <v>299</v>
      </c>
      <c r="G49" s="72" t="s">
        <v>300</v>
      </c>
      <c r="H49" s="74" t="n">
        <v>17000000</v>
      </c>
      <c r="I49" s="75"/>
    </row>
    <row r="50" customFormat="false" ht="15" hidden="false" customHeight="false" outlineLevel="0" collapsed="false">
      <c r="B50" s="71" t="s">
        <v>346</v>
      </c>
      <c r="C50" s="71" t="s">
        <v>179</v>
      </c>
      <c r="D50" s="72" t="s">
        <v>146</v>
      </c>
      <c r="E50" s="72" t="n">
        <v>1</v>
      </c>
      <c r="F50" s="73" t="s">
        <v>299</v>
      </c>
      <c r="G50" s="72" t="s">
        <v>300</v>
      </c>
      <c r="H50" s="74" t="n">
        <v>17000000</v>
      </c>
      <c r="I50" s="75"/>
    </row>
    <row r="51" customFormat="false" ht="15" hidden="false" customHeight="false" outlineLevel="0" collapsed="false">
      <c r="B51" s="71" t="s">
        <v>347</v>
      </c>
      <c r="C51" s="71" t="s">
        <v>179</v>
      </c>
      <c r="D51" s="72" t="s">
        <v>146</v>
      </c>
      <c r="E51" s="72" t="n">
        <v>2</v>
      </c>
      <c r="F51" s="73" t="s">
        <v>299</v>
      </c>
      <c r="G51" s="72" t="s">
        <v>300</v>
      </c>
      <c r="H51" s="74" t="n">
        <v>17000000</v>
      </c>
      <c r="I51" s="75"/>
    </row>
    <row r="52" customFormat="false" ht="15" hidden="false" customHeight="false" outlineLevel="0" collapsed="false">
      <c r="B52" s="71" t="s">
        <v>348</v>
      </c>
      <c r="C52" s="71" t="s">
        <v>179</v>
      </c>
      <c r="D52" s="72" t="s">
        <v>146</v>
      </c>
      <c r="E52" s="72" t="n">
        <v>2</v>
      </c>
      <c r="F52" s="73" t="s">
        <v>299</v>
      </c>
      <c r="G52" s="72" t="s">
        <v>300</v>
      </c>
      <c r="H52" s="74" t="n">
        <v>17000000</v>
      </c>
      <c r="I52" s="75"/>
    </row>
    <row r="53" customFormat="false" ht="15" hidden="false" customHeight="false" outlineLevel="0" collapsed="false">
      <c r="B53" s="71" t="s">
        <v>349</v>
      </c>
      <c r="C53" s="71" t="s">
        <v>179</v>
      </c>
      <c r="D53" s="72" t="s">
        <v>146</v>
      </c>
      <c r="E53" s="72" t="n">
        <v>3</v>
      </c>
      <c r="F53" s="73" t="s">
        <v>299</v>
      </c>
      <c r="G53" s="72" t="s">
        <v>300</v>
      </c>
      <c r="H53" s="74" t="n">
        <v>17000000</v>
      </c>
      <c r="I53" s="75"/>
    </row>
    <row r="54" customFormat="false" ht="15" hidden="false" customHeight="false" outlineLevel="0" collapsed="false">
      <c r="B54" s="76" t="s">
        <v>350</v>
      </c>
      <c r="C54" s="76" t="s">
        <v>179</v>
      </c>
      <c r="D54" s="77" t="s">
        <v>146</v>
      </c>
      <c r="E54" s="77" t="n">
        <v>3</v>
      </c>
      <c r="F54" s="78" t="s">
        <v>164</v>
      </c>
      <c r="G54" s="77" t="s">
        <v>310</v>
      </c>
      <c r="H54" s="79" t="n">
        <v>17000000</v>
      </c>
      <c r="I54" s="80"/>
    </row>
    <row r="55" customFormat="false" ht="15" hidden="false" customHeight="false" outlineLevel="0" collapsed="false">
      <c r="B55" s="81" t="s">
        <v>351</v>
      </c>
      <c r="C55" s="81" t="s">
        <v>179</v>
      </c>
      <c r="D55" s="82" t="s">
        <v>146</v>
      </c>
      <c r="E55" s="82" t="n">
        <v>4</v>
      </c>
      <c r="F55" s="83" t="s">
        <v>165</v>
      </c>
      <c r="G55" s="82" t="s">
        <v>310</v>
      </c>
      <c r="H55" s="84" t="n">
        <v>22000000</v>
      </c>
      <c r="I55" s="85"/>
    </row>
    <row r="56" customFormat="false" ht="15" hidden="false" customHeight="false" outlineLevel="0" collapsed="false">
      <c r="B56" s="81" t="s">
        <v>352</v>
      </c>
      <c r="C56" s="81" t="s">
        <v>179</v>
      </c>
      <c r="D56" s="82" t="s">
        <v>146</v>
      </c>
      <c r="E56" s="82" t="n">
        <v>4</v>
      </c>
      <c r="F56" s="83" t="s">
        <v>165</v>
      </c>
      <c r="G56" s="82" t="s">
        <v>310</v>
      </c>
      <c r="H56" s="84" t="n">
        <v>22000000</v>
      </c>
      <c r="I56" s="85"/>
    </row>
    <row r="57" customFormat="false" ht="15" hidden="false" customHeight="false" outlineLevel="0" collapsed="false">
      <c r="B57" s="81" t="s">
        <v>353</v>
      </c>
      <c r="C57" s="81" t="s">
        <v>179</v>
      </c>
      <c r="D57" s="82" t="s">
        <v>146</v>
      </c>
      <c r="E57" s="82" t="n">
        <v>5</v>
      </c>
      <c r="F57" s="83" t="s">
        <v>165</v>
      </c>
      <c r="G57" s="82" t="s">
        <v>310</v>
      </c>
      <c r="H57" s="84" t="n">
        <v>22000000</v>
      </c>
      <c r="I57" s="85"/>
    </row>
    <row r="58" customFormat="false" ht="15" hidden="false" customHeight="false" outlineLevel="0" collapsed="false">
      <c r="B58" s="81" t="s">
        <v>354</v>
      </c>
      <c r="C58" s="81" t="s">
        <v>179</v>
      </c>
      <c r="D58" s="82" t="s">
        <v>146</v>
      </c>
      <c r="E58" s="82" t="n">
        <v>5</v>
      </c>
      <c r="F58" s="83" t="s">
        <v>165</v>
      </c>
      <c r="G58" s="82" t="s">
        <v>310</v>
      </c>
      <c r="H58" s="84" t="n">
        <v>22000000</v>
      </c>
      <c r="I58" s="85"/>
    </row>
    <row r="59" customFormat="false" ht="15" hidden="false" customHeight="false" outlineLevel="0" collapsed="false">
      <c r="B59" s="81" t="s">
        <v>355</v>
      </c>
      <c r="C59" s="81" t="s">
        <v>179</v>
      </c>
      <c r="D59" s="82" t="s">
        <v>146</v>
      </c>
      <c r="E59" s="82" t="n">
        <v>6</v>
      </c>
      <c r="F59" s="83" t="s">
        <v>165</v>
      </c>
      <c r="G59" s="82" t="s">
        <v>310</v>
      </c>
      <c r="H59" s="84" t="n">
        <v>22000000</v>
      </c>
      <c r="I59" s="85"/>
    </row>
    <row r="60" customFormat="false" ht="15" hidden="false" customHeight="false" outlineLevel="0" collapsed="false">
      <c r="B60" s="81" t="s">
        <v>356</v>
      </c>
      <c r="C60" s="81" t="s">
        <v>179</v>
      </c>
      <c r="D60" s="82" t="s">
        <v>146</v>
      </c>
      <c r="E60" s="82" t="n">
        <v>6</v>
      </c>
      <c r="F60" s="83" t="s">
        <v>165</v>
      </c>
      <c r="G60" s="82" t="s">
        <v>310</v>
      </c>
      <c r="H60" s="84" t="n">
        <v>22000000</v>
      </c>
      <c r="I60" s="85"/>
    </row>
    <row r="61" customFormat="false" ht="15" hidden="false" customHeight="false" outlineLevel="0" collapsed="false">
      <c r="B61" s="81" t="s">
        <v>357</v>
      </c>
      <c r="C61" s="81" t="s">
        <v>179</v>
      </c>
      <c r="D61" s="82" t="s">
        <v>146</v>
      </c>
      <c r="E61" s="82" t="n">
        <v>7</v>
      </c>
      <c r="F61" s="83" t="s">
        <v>165</v>
      </c>
      <c r="G61" s="82" t="s">
        <v>310</v>
      </c>
      <c r="H61" s="84" t="n">
        <v>22000000</v>
      </c>
      <c r="I61" s="85"/>
    </row>
    <row r="62" customFormat="false" ht="15" hidden="false" customHeight="false" outlineLevel="0" collapsed="false">
      <c r="B62" s="81" t="s">
        <v>358</v>
      </c>
      <c r="C62" s="81" t="s">
        <v>179</v>
      </c>
      <c r="D62" s="82" t="s">
        <v>146</v>
      </c>
      <c r="E62" s="82" t="n">
        <v>7</v>
      </c>
      <c r="F62" s="83" t="s">
        <v>165</v>
      </c>
      <c r="G62" s="82" t="s">
        <v>310</v>
      </c>
      <c r="H62" s="84" t="n">
        <v>22000000</v>
      </c>
      <c r="I62" s="85"/>
    </row>
    <row r="63" customFormat="false" ht="15" hidden="false" customHeight="false" outlineLevel="0" collapsed="false">
      <c r="B63" s="81" t="s">
        <v>359</v>
      </c>
      <c r="C63" s="81" t="s">
        <v>179</v>
      </c>
      <c r="D63" s="82" t="s">
        <v>146</v>
      </c>
      <c r="E63" s="82" t="n">
        <v>8</v>
      </c>
      <c r="F63" s="83" t="s">
        <v>165</v>
      </c>
      <c r="G63" s="82" t="s">
        <v>310</v>
      </c>
      <c r="H63" s="84" t="n">
        <v>22000000</v>
      </c>
      <c r="I63" s="85"/>
    </row>
    <row r="64" customFormat="false" ht="15" hidden="false" customHeight="false" outlineLevel="0" collapsed="false">
      <c r="B64" s="81" t="s">
        <v>360</v>
      </c>
      <c r="C64" s="81" t="s">
        <v>179</v>
      </c>
      <c r="D64" s="82" t="s">
        <v>146</v>
      </c>
      <c r="E64" s="82" t="n">
        <v>8</v>
      </c>
      <c r="F64" s="83" t="s">
        <v>165</v>
      </c>
      <c r="G64" s="82" t="s">
        <v>310</v>
      </c>
      <c r="H64" s="84" t="n">
        <v>22000000</v>
      </c>
      <c r="I64" s="85"/>
    </row>
    <row r="65" customFormat="false" ht="15" hidden="false" customHeight="false" outlineLevel="0" collapsed="false">
      <c r="B65" s="81" t="s">
        <v>361</v>
      </c>
      <c r="C65" s="81" t="s">
        <v>179</v>
      </c>
      <c r="D65" s="82" t="s">
        <v>146</v>
      </c>
      <c r="E65" s="82" t="n">
        <v>9</v>
      </c>
      <c r="F65" s="83" t="s">
        <v>165</v>
      </c>
      <c r="G65" s="82" t="s">
        <v>310</v>
      </c>
      <c r="H65" s="84" t="n">
        <v>22000000</v>
      </c>
      <c r="I65" s="85"/>
    </row>
    <row r="66" customFormat="false" ht="15" hidden="false" customHeight="false" outlineLevel="0" collapsed="false">
      <c r="B66" s="81" t="s">
        <v>362</v>
      </c>
      <c r="C66" s="81" t="s">
        <v>179</v>
      </c>
      <c r="D66" s="82" t="s">
        <v>146</v>
      </c>
      <c r="E66" s="82" t="n">
        <v>9</v>
      </c>
      <c r="F66" s="83" t="s">
        <v>165</v>
      </c>
      <c r="G66" s="82" t="s">
        <v>310</v>
      </c>
      <c r="H66" s="84" t="n">
        <v>22000000</v>
      </c>
      <c r="I66" s="85"/>
    </row>
    <row r="67" customFormat="false" ht="15" hidden="false" customHeight="false" outlineLevel="0" collapsed="false">
      <c r="B67" s="81" t="s">
        <v>363</v>
      </c>
      <c r="C67" s="81" t="s">
        <v>179</v>
      </c>
      <c r="D67" s="82" t="s">
        <v>146</v>
      </c>
      <c r="E67" s="82" t="n">
        <v>10</v>
      </c>
      <c r="F67" s="83" t="s">
        <v>165</v>
      </c>
      <c r="G67" s="82" t="s">
        <v>310</v>
      </c>
      <c r="H67" s="84" t="n">
        <v>22000000</v>
      </c>
      <c r="I67" s="85"/>
    </row>
    <row r="68" customFormat="false" ht="15" hidden="false" customHeight="false" outlineLevel="0" collapsed="false">
      <c r="B68" s="81" t="s">
        <v>364</v>
      </c>
      <c r="C68" s="81" t="s">
        <v>179</v>
      </c>
      <c r="D68" s="82" t="s">
        <v>146</v>
      </c>
      <c r="E68" s="82" t="n">
        <v>10</v>
      </c>
      <c r="F68" s="83" t="s">
        <v>165</v>
      </c>
      <c r="G68" s="82" t="s">
        <v>310</v>
      </c>
      <c r="H68" s="84" t="n">
        <v>22000000</v>
      </c>
      <c r="I68" s="85"/>
    </row>
    <row r="69" customFormat="false" ht="15" hidden="false" customHeight="false" outlineLevel="0" collapsed="false">
      <c r="B69" s="81" t="s">
        <v>365</v>
      </c>
      <c r="C69" s="81" t="s">
        <v>179</v>
      </c>
      <c r="D69" s="82" t="s">
        <v>146</v>
      </c>
      <c r="E69" s="82" t="n">
        <v>11</v>
      </c>
      <c r="F69" s="83" t="s">
        <v>165</v>
      </c>
      <c r="G69" s="82" t="s">
        <v>310</v>
      </c>
      <c r="H69" s="84" t="n">
        <v>22000000</v>
      </c>
      <c r="I69" s="85"/>
    </row>
    <row r="70" customFormat="false" ht="15" hidden="false" customHeight="false" outlineLevel="0" collapsed="false">
      <c r="B70" s="81" t="s">
        <v>366</v>
      </c>
      <c r="C70" s="81" t="s">
        <v>179</v>
      </c>
      <c r="D70" s="82" t="s">
        <v>146</v>
      </c>
      <c r="E70" s="82" t="n">
        <v>11</v>
      </c>
      <c r="F70" s="83" t="s">
        <v>165</v>
      </c>
      <c r="G70" s="82" t="s">
        <v>310</v>
      </c>
      <c r="H70" s="84" t="n">
        <v>22000000</v>
      </c>
      <c r="I70" s="85"/>
    </row>
    <row r="71" customFormat="false" ht="15" hidden="false" customHeight="false" outlineLevel="0" collapsed="false">
      <c r="B71" s="71" t="s">
        <v>367</v>
      </c>
      <c r="C71" s="71" t="s">
        <v>183</v>
      </c>
      <c r="D71" s="72" t="s">
        <v>145</v>
      </c>
      <c r="E71" s="72" t="n">
        <v>1</v>
      </c>
      <c r="F71" s="73" t="s">
        <v>299</v>
      </c>
      <c r="G71" s="72" t="s">
        <v>300</v>
      </c>
      <c r="H71" s="74" t="n">
        <v>10000000</v>
      </c>
      <c r="I71" s="75"/>
    </row>
    <row r="72" customFormat="false" ht="15" hidden="false" customHeight="false" outlineLevel="0" collapsed="false">
      <c r="B72" s="71" t="s">
        <v>368</v>
      </c>
      <c r="C72" s="71" t="s">
        <v>183</v>
      </c>
      <c r="D72" s="72" t="s">
        <v>145</v>
      </c>
      <c r="E72" s="72" t="n">
        <v>1</v>
      </c>
      <c r="F72" s="73" t="s">
        <v>299</v>
      </c>
      <c r="G72" s="72" t="s">
        <v>300</v>
      </c>
      <c r="H72" s="74" t="n">
        <v>10000000</v>
      </c>
      <c r="I72" s="75"/>
    </row>
    <row r="73" customFormat="false" ht="15" hidden="false" customHeight="false" outlineLevel="0" collapsed="false">
      <c r="B73" s="71" t="s">
        <v>369</v>
      </c>
      <c r="C73" s="71" t="s">
        <v>183</v>
      </c>
      <c r="D73" s="72" t="s">
        <v>145</v>
      </c>
      <c r="E73" s="72" t="n">
        <v>2</v>
      </c>
      <c r="F73" s="73" t="s">
        <v>299</v>
      </c>
      <c r="G73" s="72" t="s">
        <v>300</v>
      </c>
      <c r="H73" s="74" t="n">
        <v>10000000</v>
      </c>
      <c r="I73" s="75"/>
    </row>
    <row r="74" customFormat="false" ht="15" hidden="false" customHeight="false" outlineLevel="0" collapsed="false">
      <c r="B74" s="71" t="s">
        <v>370</v>
      </c>
      <c r="C74" s="71" t="s">
        <v>183</v>
      </c>
      <c r="D74" s="72" t="s">
        <v>145</v>
      </c>
      <c r="E74" s="72" t="n">
        <v>2</v>
      </c>
      <c r="F74" s="73" t="s">
        <v>299</v>
      </c>
      <c r="G74" s="72" t="s">
        <v>300</v>
      </c>
      <c r="H74" s="74" t="n">
        <v>10000000</v>
      </c>
      <c r="I74" s="75"/>
    </row>
    <row r="75" customFormat="false" ht="15" hidden="false" customHeight="false" outlineLevel="0" collapsed="false">
      <c r="B75" s="71" t="s">
        <v>371</v>
      </c>
      <c r="C75" s="71" t="s">
        <v>183</v>
      </c>
      <c r="D75" s="72" t="s">
        <v>145</v>
      </c>
      <c r="E75" s="72" t="n">
        <v>3</v>
      </c>
      <c r="F75" s="73" t="s">
        <v>299</v>
      </c>
      <c r="G75" s="72" t="s">
        <v>300</v>
      </c>
      <c r="H75" s="74" t="n">
        <v>10000000</v>
      </c>
      <c r="I75" s="75"/>
    </row>
    <row r="76" customFormat="false" ht="15" hidden="false" customHeight="false" outlineLevel="0" collapsed="false">
      <c r="B76" s="81" t="s">
        <v>372</v>
      </c>
      <c r="C76" s="81" t="s">
        <v>183</v>
      </c>
      <c r="D76" s="82" t="s">
        <v>145</v>
      </c>
      <c r="E76" s="82" t="n">
        <v>3</v>
      </c>
      <c r="F76" s="83" t="s">
        <v>165</v>
      </c>
      <c r="G76" s="82" t="s">
        <v>310</v>
      </c>
      <c r="H76" s="84" t="n">
        <v>13000000</v>
      </c>
      <c r="I76" s="85"/>
    </row>
    <row r="77" customFormat="false" ht="15" hidden="false" customHeight="false" outlineLevel="0" collapsed="false">
      <c r="B77" s="81" t="s">
        <v>373</v>
      </c>
      <c r="C77" s="81" t="s">
        <v>183</v>
      </c>
      <c r="D77" s="82" t="s">
        <v>145</v>
      </c>
      <c r="E77" s="82" t="n">
        <v>4</v>
      </c>
      <c r="F77" s="83" t="s">
        <v>165</v>
      </c>
      <c r="G77" s="82" t="s">
        <v>310</v>
      </c>
      <c r="H77" s="84" t="n">
        <v>13000000</v>
      </c>
      <c r="I77" s="85"/>
    </row>
    <row r="78" customFormat="false" ht="15" hidden="false" customHeight="false" outlineLevel="0" collapsed="false">
      <c r="B78" s="81" t="s">
        <v>374</v>
      </c>
      <c r="C78" s="81" t="s">
        <v>183</v>
      </c>
      <c r="D78" s="82" t="s">
        <v>145</v>
      </c>
      <c r="E78" s="82" t="n">
        <v>4</v>
      </c>
      <c r="F78" s="83" t="s">
        <v>165</v>
      </c>
      <c r="G78" s="82" t="s">
        <v>310</v>
      </c>
      <c r="H78" s="84" t="n">
        <v>13000000</v>
      </c>
      <c r="I78" s="85"/>
    </row>
    <row r="79" customFormat="false" ht="15" hidden="false" customHeight="false" outlineLevel="0" collapsed="false">
      <c r="B79" s="81" t="s">
        <v>375</v>
      </c>
      <c r="C79" s="81" t="s">
        <v>183</v>
      </c>
      <c r="D79" s="82" t="s">
        <v>145</v>
      </c>
      <c r="E79" s="82" t="n">
        <v>5</v>
      </c>
      <c r="F79" s="83" t="s">
        <v>165</v>
      </c>
      <c r="G79" s="82" t="s">
        <v>310</v>
      </c>
      <c r="H79" s="84" t="n">
        <v>13000000</v>
      </c>
      <c r="I79" s="85"/>
    </row>
    <row r="80" customFormat="false" ht="15" hidden="false" customHeight="false" outlineLevel="0" collapsed="false">
      <c r="B80" s="81" t="s">
        <v>376</v>
      </c>
      <c r="C80" s="81" t="s">
        <v>183</v>
      </c>
      <c r="D80" s="82" t="s">
        <v>145</v>
      </c>
      <c r="E80" s="82" t="n">
        <v>5</v>
      </c>
      <c r="F80" s="83" t="s">
        <v>165</v>
      </c>
      <c r="G80" s="82" t="s">
        <v>310</v>
      </c>
      <c r="H80" s="84" t="n">
        <v>13000000</v>
      </c>
      <c r="I80" s="85"/>
    </row>
    <row r="81" customFormat="false" ht="15" hidden="false" customHeight="false" outlineLevel="0" collapsed="false">
      <c r="B81" s="81" t="s">
        <v>377</v>
      </c>
      <c r="C81" s="81" t="s">
        <v>183</v>
      </c>
      <c r="D81" s="82" t="s">
        <v>145</v>
      </c>
      <c r="E81" s="82" t="n">
        <v>6</v>
      </c>
      <c r="F81" s="83" t="s">
        <v>165</v>
      </c>
      <c r="G81" s="82" t="s">
        <v>310</v>
      </c>
      <c r="H81" s="84" t="n">
        <v>13000000</v>
      </c>
      <c r="I81" s="85"/>
    </row>
    <row r="82" customFormat="false" ht="15" hidden="false" customHeight="false" outlineLevel="0" collapsed="false">
      <c r="B82" s="81" t="s">
        <v>378</v>
      </c>
      <c r="C82" s="81" t="s">
        <v>183</v>
      </c>
      <c r="D82" s="82" t="s">
        <v>145</v>
      </c>
      <c r="E82" s="82" t="n">
        <v>6</v>
      </c>
      <c r="F82" s="83" t="s">
        <v>165</v>
      </c>
      <c r="G82" s="82" t="s">
        <v>310</v>
      </c>
      <c r="H82" s="84" t="n">
        <v>13000000</v>
      </c>
      <c r="I82" s="85"/>
    </row>
    <row r="83" customFormat="false" ht="15" hidden="false" customHeight="false" outlineLevel="0" collapsed="false">
      <c r="B83" s="81" t="s">
        <v>379</v>
      </c>
      <c r="C83" s="81" t="s">
        <v>183</v>
      </c>
      <c r="D83" s="82" t="s">
        <v>145</v>
      </c>
      <c r="E83" s="82" t="n">
        <v>7</v>
      </c>
      <c r="F83" s="83" t="s">
        <v>165</v>
      </c>
      <c r="G83" s="82" t="s">
        <v>310</v>
      </c>
      <c r="H83" s="84" t="n">
        <v>13000000</v>
      </c>
      <c r="I83" s="85"/>
    </row>
    <row r="84" customFormat="false" ht="15" hidden="false" customHeight="false" outlineLevel="0" collapsed="false">
      <c r="B84" s="81" t="s">
        <v>380</v>
      </c>
      <c r="C84" s="81" t="s">
        <v>183</v>
      </c>
      <c r="D84" s="82" t="s">
        <v>145</v>
      </c>
      <c r="E84" s="82" t="n">
        <v>7</v>
      </c>
      <c r="F84" s="83" t="s">
        <v>165</v>
      </c>
      <c r="G84" s="82" t="s">
        <v>310</v>
      </c>
      <c r="H84" s="84" t="n">
        <v>13000000</v>
      </c>
      <c r="I84" s="85"/>
    </row>
    <row r="85" customFormat="false" ht="15" hidden="false" customHeight="false" outlineLevel="0" collapsed="false">
      <c r="B85" s="81" t="s">
        <v>381</v>
      </c>
      <c r="C85" s="81" t="s">
        <v>183</v>
      </c>
      <c r="D85" s="82" t="s">
        <v>145</v>
      </c>
      <c r="E85" s="82" t="n">
        <v>8</v>
      </c>
      <c r="F85" s="83" t="s">
        <v>165</v>
      </c>
      <c r="G85" s="82" t="s">
        <v>310</v>
      </c>
      <c r="H85" s="84" t="n">
        <v>13000000</v>
      </c>
      <c r="I85" s="85"/>
    </row>
    <row r="86" customFormat="false" ht="15" hidden="false" customHeight="false" outlineLevel="0" collapsed="false">
      <c r="B86" s="81" t="s">
        <v>382</v>
      </c>
      <c r="C86" s="81" t="s">
        <v>183</v>
      </c>
      <c r="D86" s="82" t="s">
        <v>145</v>
      </c>
      <c r="E86" s="82" t="n">
        <v>8</v>
      </c>
      <c r="F86" s="83" t="s">
        <v>165</v>
      </c>
      <c r="G86" s="82" t="s">
        <v>310</v>
      </c>
      <c r="H86" s="84" t="n">
        <v>13000000</v>
      </c>
      <c r="I86" s="85"/>
    </row>
    <row r="87" customFormat="false" ht="15" hidden="false" customHeight="false" outlineLevel="0" collapsed="false">
      <c r="B87" s="81" t="s">
        <v>383</v>
      </c>
      <c r="C87" s="81" t="s">
        <v>183</v>
      </c>
      <c r="D87" s="82" t="s">
        <v>145</v>
      </c>
      <c r="E87" s="82" t="n">
        <v>9</v>
      </c>
      <c r="F87" s="83" t="s">
        <v>165</v>
      </c>
      <c r="G87" s="82" t="s">
        <v>310</v>
      </c>
      <c r="H87" s="84" t="n">
        <v>13000000</v>
      </c>
      <c r="I87" s="85"/>
    </row>
    <row r="88" customFormat="false" ht="15" hidden="false" customHeight="false" outlineLevel="0" collapsed="false">
      <c r="B88" s="81" t="s">
        <v>384</v>
      </c>
      <c r="C88" s="81" t="s">
        <v>183</v>
      </c>
      <c r="D88" s="82" t="s">
        <v>145</v>
      </c>
      <c r="E88" s="82" t="n">
        <v>9</v>
      </c>
      <c r="F88" s="83" t="s">
        <v>165</v>
      </c>
      <c r="G88" s="82" t="s">
        <v>310</v>
      </c>
      <c r="H88" s="84" t="n">
        <v>13000000</v>
      </c>
      <c r="I88" s="85"/>
    </row>
    <row r="89" customFormat="false" ht="15" hidden="false" customHeight="false" outlineLevel="0" collapsed="false">
      <c r="B89" s="81" t="s">
        <v>385</v>
      </c>
      <c r="C89" s="81" t="s">
        <v>183</v>
      </c>
      <c r="D89" s="82" t="s">
        <v>145</v>
      </c>
      <c r="E89" s="82" t="n">
        <v>10</v>
      </c>
      <c r="F89" s="83" t="s">
        <v>165</v>
      </c>
      <c r="G89" s="82" t="s">
        <v>310</v>
      </c>
      <c r="H89" s="84" t="n">
        <v>13000000</v>
      </c>
      <c r="I89" s="85"/>
    </row>
    <row r="90" customFormat="false" ht="15" hidden="false" customHeight="false" outlineLevel="0" collapsed="false">
      <c r="B90" s="81" t="s">
        <v>386</v>
      </c>
      <c r="C90" s="81" t="s">
        <v>183</v>
      </c>
      <c r="D90" s="82" t="s">
        <v>145</v>
      </c>
      <c r="E90" s="82" t="n">
        <v>10</v>
      </c>
      <c r="F90" s="83" t="s">
        <v>165</v>
      </c>
      <c r="G90" s="82" t="s">
        <v>310</v>
      </c>
      <c r="H90" s="84" t="n">
        <v>13000000</v>
      </c>
      <c r="I90" s="85"/>
    </row>
    <row r="91" customFormat="false" ht="15" hidden="false" customHeight="false" outlineLevel="0" collapsed="false">
      <c r="B91" s="81" t="s">
        <v>387</v>
      </c>
      <c r="C91" s="81" t="s">
        <v>183</v>
      </c>
      <c r="D91" s="82" t="s">
        <v>145</v>
      </c>
      <c r="E91" s="82" t="n">
        <v>11</v>
      </c>
      <c r="F91" s="83" t="s">
        <v>165</v>
      </c>
      <c r="G91" s="82" t="s">
        <v>310</v>
      </c>
      <c r="H91" s="84" t="n">
        <v>13000000</v>
      </c>
      <c r="I91" s="85"/>
    </row>
    <row r="92" customFormat="false" ht="15" hidden="false" customHeight="false" outlineLevel="0" collapsed="false">
      <c r="B92" s="81" t="s">
        <v>388</v>
      </c>
      <c r="C92" s="81" t="s">
        <v>183</v>
      </c>
      <c r="D92" s="82" t="s">
        <v>145</v>
      </c>
      <c r="E92" s="82" t="n">
        <v>11</v>
      </c>
      <c r="F92" s="83" t="s">
        <v>165</v>
      </c>
      <c r="G92" s="82" t="s">
        <v>310</v>
      </c>
      <c r="H92" s="84" t="n">
        <v>13000000</v>
      </c>
      <c r="I92" s="85"/>
    </row>
    <row r="94" customFormat="false" ht="15" hidden="false" customHeight="false" outlineLevel="0" collapsed="false">
      <c r="A94" s="13" t="s">
        <v>389</v>
      </c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4" t="s">
        <v>295</v>
      </c>
      <c r="B95" s="14" t="s">
        <v>147</v>
      </c>
      <c r="C95" s="14" t="s">
        <v>146</v>
      </c>
      <c r="D95" s="14" t="s">
        <v>145</v>
      </c>
      <c r="E95" s="14" t="s">
        <v>161</v>
      </c>
      <c r="F95" s="14"/>
      <c r="G95" s="14"/>
      <c r="H95" s="14"/>
      <c r="I95" s="14"/>
    </row>
    <row r="96" customFormat="false" ht="15" hidden="false" customHeight="false" outlineLevel="0" collapsed="false">
      <c r="B96" s="86" t="s">
        <v>299</v>
      </c>
      <c r="C96" s="87" t="n">
        <v>9</v>
      </c>
      <c r="D96" s="87" t="n">
        <v>5</v>
      </c>
      <c r="E96" s="87" t="n">
        <v>5</v>
      </c>
      <c r="F96" s="88" t="n">
        <f aca="false">C96+D96+E96</f>
        <v>19</v>
      </c>
    </row>
    <row r="97" customFormat="false" ht="15" hidden="false" customHeight="false" outlineLevel="0" collapsed="false">
      <c r="B97" s="89" t="s">
        <v>164</v>
      </c>
      <c r="C97" s="90" t="n">
        <v>20</v>
      </c>
      <c r="D97" s="90" t="n">
        <v>1</v>
      </c>
      <c r="E97" s="90" t="n">
        <v>0</v>
      </c>
      <c r="F97" s="91" t="n">
        <f aca="false">C97+D97+E97</f>
        <v>21</v>
      </c>
    </row>
    <row r="98" customFormat="false" ht="15" hidden="false" customHeight="false" outlineLevel="0" collapsed="false">
      <c r="B98" s="92" t="s">
        <v>165</v>
      </c>
      <c r="C98" s="93" t="n">
        <v>15</v>
      </c>
      <c r="D98" s="93" t="n">
        <v>16</v>
      </c>
      <c r="E98" s="93" t="n">
        <v>17</v>
      </c>
      <c r="F98" s="94" t="n">
        <f aca="false">C98+D98+E98</f>
        <v>48</v>
      </c>
    </row>
    <row r="99" customFormat="false" ht="15" hidden="false" customHeight="false" outlineLevel="0" collapsed="false">
      <c r="B99" s="31" t="s">
        <v>158</v>
      </c>
      <c r="C99" s="32" t="n">
        <f aca="false">SUM(C96:C98)</f>
        <v>44</v>
      </c>
      <c r="D99" s="32" t="n">
        <f aca="false">SUM(D96:D98)</f>
        <v>22</v>
      </c>
      <c r="E99" s="32" t="n">
        <f aca="false">SUM(E96:E98)</f>
        <v>22</v>
      </c>
      <c r="F99" s="32" t="n">
        <f aca="false">SUM(F96:F98)</f>
        <v>88</v>
      </c>
    </row>
  </sheetData>
  <mergeCells count="1">
    <mergeCell ref="A94:I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2026-04-11T01:03:49Z</dcterms:created>
  <dc:creator>openpyxl</dc:creator>
  <dc:description/>
  <dc:language>en-US</dc:language>
  <cp:lastModifiedBy/>
  <dcterms:modified xsi:type="dcterms:W3CDTF">2026-04-11T01:03:49Z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