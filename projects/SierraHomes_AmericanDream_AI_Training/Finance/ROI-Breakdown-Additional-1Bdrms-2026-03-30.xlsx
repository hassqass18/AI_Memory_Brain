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507a1c7e231fa99/Documents/Sierra Homes/"/>
    </mc:Choice>
  </mc:AlternateContent>
  <xr:revisionPtr revIDLastSave="67" documentId="8_{AE5E68CD-7BF1-4BD8-A875-9CC5D6F16270}" xr6:coauthVersionLast="47" xr6:coauthVersionMax="47" xr10:uidLastSave="{2C101B73-0DEA-489A-8AFF-5ECF0F21259D}"/>
  <bookViews>
    <workbookView xWindow="-108" yWindow="-108" windowWidth="23256" windowHeight="12456" activeTab="1" xr2:uid="{00000000-000D-0000-FFFF-FFFF00000000}"/>
  </bookViews>
  <sheets>
    <sheet name="Profolios Projects" sheetId="1" r:id="rId1"/>
    <sheet name="FInancial Projections" sheetId="2" r:id="rId2"/>
    <sheet name="Sket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C15" i="2"/>
  <c r="D15" i="2" s="1"/>
  <c r="C10" i="2"/>
  <c r="D10" i="2" s="1"/>
  <c r="C16" i="2"/>
  <c r="D16" i="2" s="1"/>
  <c r="C9" i="2"/>
  <c r="D9" i="2" s="1"/>
  <c r="C8" i="2"/>
  <c r="E29" i="2"/>
  <c r="D29" i="2"/>
  <c r="C29" i="2"/>
  <c r="B29" i="2"/>
  <c r="D5" i="2"/>
  <c r="D8" i="2"/>
  <c r="B5" i="2"/>
  <c r="C5" i="2"/>
  <c r="E5" i="2"/>
  <c r="F5" i="2" s="1"/>
  <c r="G5" i="2" l="1"/>
  <c r="E30" i="2" s="1"/>
  <c r="C17" i="2"/>
  <c r="D11" i="2"/>
  <c r="C11" i="2"/>
  <c r="D17" i="2"/>
  <c r="B11" i="2"/>
  <c r="B21" i="2" l="1"/>
  <c r="E43" i="2"/>
  <c r="B22" i="2"/>
  <c r="B20" i="2"/>
  <c r="B35" i="2"/>
  <c r="B40" i="2" s="1"/>
  <c r="D43" i="2" s="1"/>
  <c r="B43" i="2" l="1"/>
  <c r="B44" i="2" s="1"/>
</calcChain>
</file>

<file path=xl/sharedStrings.xml><?xml version="1.0" encoding="utf-8"?>
<sst xmlns="http://schemas.openxmlformats.org/spreadsheetml/2006/main" count="59" uniqueCount="39">
  <si>
    <t># of Bedrooms</t>
  </si>
  <si>
    <t>1 Bedrooms</t>
  </si>
  <si>
    <t>2 Bedrooms</t>
  </si>
  <si>
    <t>3 Bedrooms</t>
  </si>
  <si>
    <t># of units</t>
  </si>
  <si>
    <t>Total</t>
  </si>
  <si>
    <t>Cost of Construction (KES)</t>
  </si>
  <si>
    <t>Off Plan Sells</t>
  </si>
  <si>
    <t># of Units</t>
  </si>
  <si>
    <t>Off Plan (KES)</t>
  </si>
  <si>
    <t>On The Market (KES)</t>
  </si>
  <si>
    <t>On Market Sells</t>
  </si>
  <si>
    <t>Net (KES)</t>
  </si>
  <si>
    <t>Gross (KES)</t>
  </si>
  <si>
    <t>Projected Profit</t>
  </si>
  <si>
    <t>Off Plan</t>
  </si>
  <si>
    <t>On Market</t>
  </si>
  <si>
    <t>For Developer</t>
  </si>
  <si>
    <t>For Landowners</t>
  </si>
  <si>
    <t>Gross Profit (KES)</t>
  </si>
  <si>
    <t>Sylvester Harding</t>
  </si>
  <si>
    <t>Hassan Wilson</t>
  </si>
  <si>
    <t>Rajab Hatibu</t>
  </si>
  <si>
    <t>https://share.google/1eEmj7H0ezYXnRRrb</t>
  </si>
  <si>
    <t>https://share.google/xhkoODkH7KfWJBgPN</t>
  </si>
  <si>
    <t>www.freedomnation.me</t>
  </si>
  <si>
    <t>Will do on-site visits per requests</t>
  </si>
  <si>
    <t>Sketch should be delivered on Tuesday</t>
  </si>
  <si>
    <t>Project Management Costs</t>
  </si>
  <si>
    <t>Marketing Costs</t>
  </si>
  <si>
    <t>Permit Cost</t>
  </si>
  <si>
    <t>Lawyer Fees</t>
  </si>
  <si>
    <t>Sales Comission (3% of Sales Price)</t>
  </si>
  <si>
    <t>Land Search</t>
  </si>
  <si>
    <t xml:space="preserve">Total </t>
  </si>
  <si>
    <t>Total Projected Gross Revenue</t>
  </si>
  <si>
    <t>Architect, Engineers, Etc.</t>
  </si>
  <si>
    <t xml:space="preserve">ROI </t>
  </si>
  <si>
    <t>at 22% the landowners would still be entitled to .76 units, that .76 units is worth KES 42,040,000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</si>
</sst>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KES]\ * #,##0.00_);_([$KES]\ * \(#,##0.00\);_([$KES]\ * &quot;-&quot;??_);_(@_)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44" fontId="0" fillId="0" borderId="0" xfId="1" applyFont="1"/>
    <xf numFmtId="0" fontId="2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4" fontId="0" fillId="2" borderId="1" xfId="1" applyNumberFormat="1" applyFont="1" applyFill="1" applyBorder="1"/>
    <xf numFmtId="164" fontId="0" fillId="5" borderId="1" xfId="1" applyNumberFormat="1" applyFont="1" applyFill="1" applyBorder="1"/>
    <xf numFmtId="0" fontId="0" fillId="8" borderId="1" xfId="0" applyFill="1" applyBorder="1"/>
    <xf numFmtId="164" fontId="0" fillId="8" borderId="1" xfId="1" applyNumberFormat="1" applyFont="1" applyFill="1" applyBorder="1"/>
    <xf numFmtId="0" fontId="3" fillId="7" borderId="1" xfId="0" applyFont="1" applyFill="1" applyBorder="1"/>
    <xf numFmtId="0" fontId="3" fillId="6" borderId="1" xfId="0" applyFont="1" applyFill="1" applyBorder="1"/>
    <xf numFmtId="164" fontId="0" fillId="2" borderId="1" xfId="0" applyNumberFormat="1" applyFill="1" applyBorder="1"/>
    <xf numFmtId="164" fontId="0" fillId="5" borderId="1" xfId="0" applyNumberFormat="1" applyFill="1" applyBorder="1"/>
    <xf numFmtId="0" fontId="4" fillId="2" borderId="1" xfId="2" applyFill="1" applyBorder="1"/>
    <xf numFmtId="164" fontId="5" fillId="4" borderId="1" xfId="0" applyNumberFormat="1" applyFont="1" applyFill="1" applyBorder="1"/>
    <xf numFmtId="2" fontId="0" fillId="5" borderId="1" xfId="3" applyNumberFormat="1" applyFont="1" applyFill="1" applyBorder="1"/>
    <xf numFmtId="164" fontId="0" fillId="0" borderId="0" xfId="0" applyNumberFormat="1"/>
    <xf numFmtId="164" fontId="0" fillId="5" borderId="0" xfId="0" applyNumberFormat="1" applyFill="1"/>
    <xf numFmtId="164" fontId="6" fillId="2" borderId="1" xfId="0" applyNumberFormat="1" applyFont="1" applyFill="1" applyBorder="1"/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hare.google/1eEmj7H0ezYXnRRrb" TargetMode="External"/><Relationship Id="rId1" Type="http://schemas.openxmlformats.org/officeDocument/2006/relationships/hyperlink" Target="http://www.freedomnation.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F10" sqref="F10"/>
    </sheetView>
  </sheetViews>
  <sheetFormatPr defaultRowHeight="14.4" x14ac:dyDescent="0.3"/>
  <cols>
    <col min="1" max="1" width="36.33203125" customWidth="1"/>
    <col min="2" max="2" width="23.5546875" customWidth="1"/>
    <col min="3" max="3" width="40.77734375" bestFit="1" customWidth="1"/>
  </cols>
  <sheetData>
    <row r="1" spans="1:5" x14ac:dyDescent="0.3">
      <c r="A1" s="7" t="s">
        <v>20</v>
      </c>
      <c r="B1" s="7" t="s">
        <v>21</v>
      </c>
      <c r="C1" s="7" t="s">
        <v>22</v>
      </c>
    </row>
    <row r="2" spans="1:5" x14ac:dyDescent="0.3">
      <c r="A2" s="17" t="s">
        <v>23</v>
      </c>
      <c r="B2" s="17" t="s">
        <v>25</v>
      </c>
      <c r="C2" s="2" t="s">
        <v>26</v>
      </c>
      <c r="D2" s="23"/>
      <c r="E2" s="23"/>
    </row>
    <row r="3" spans="1:5" x14ac:dyDescent="0.3">
      <c r="A3" s="2" t="s">
        <v>24</v>
      </c>
      <c r="B3" s="3"/>
      <c r="C3" s="3"/>
      <c r="D3" s="23"/>
      <c r="E3" s="23"/>
    </row>
  </sheetData>
  <mergeCells count="2">
    <mergeCell ref="D2:D3"/>
    <mergeCell ref="E2:E3"/>
  </mergeCells>
  <hyperlinks>
    <hyperlink ref="B2" r:id="rId1" xr:uid="{1F387CDD-6742-4DA2-8A9A-38AB1D1A29A5}"/>
    <hyperlink ref="A2" r:id="rId2" xr:uid="{CC3601E1-A3BE-49BE-9B09-85E2630BB7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9A2C-C638-457E-BD29-9EAF114F8408}">
  <dimension ref="A1:H44"/>
  <sheetViews>
    <sheetView tabSelected="1" zoomScale="86" workbookViewId="0">
      <selection activeCell="F21" sqref="F21"/>
    </sheetView>
  </sheetViews>
  <sheetFormatPr defaultRowHeight="14.4" x14ac:dyDescent="0.3"/>
  <cols>
    <col min="1" max="1" width="29.44140625" customWidth="1"/>
    <col min="2" max="2" width="34.21875" customWidth="1"/>
    <col min="3" max="4" width="22.109375" customWidth="1"/>
    <col min="5" max="5" width="23.88671875" customWidth="1"/>
    <col min="6" max="6" width="30.109375" customWidth="1"/>
    <col min="7" max="7" width="23.109375" customWidth="1"/>
    <col min="8" max="8" width="22.5546875" customWidth="1"/>
    <col min="9" max="9" width="19.5546875" customWidth="1"/>
    <col min="10" max="10" width="21.88671875" customWidth="1"/>
    <col min="11" max="11" width="21" customWidth="1"/>
  </cols>
  <sheetData>
    <row r="1" spans="1:8" x14ac:dyDescent="0.3">
      <c r="A1" s="7" t="s">
        <v>0</v>
      </c>
      <c r="B1" s="7" t="s">
        <v>4</v>
      </c>
      <c r="C1" s="7" t="s">
        <v>6</v>
      </c>
      <c r="D1" s="7" t="s">
        <v>9</v>
      </c>
      <c r="E1" s="7" t="s">
        <v>10</v>
      </c>
    </row>
    <row r="2" spans="1:8" x14ac:dyDescent="0.3">
      <c r="A2" s="7" t="s">
        <v>1</v>
      </c>
      <c r="B2" s="2">
        <v>24</v>
      </c>
      <c r="C2" s="9">
        <v>4000000</v>
      </c>
      <c r="D2" s="9">
        <v>6000000</v>
      </c>
      <c r="E2" s="9">
        <v>9000000</v>
      </c>
    </row>
    <row r="3" spans="1:8" x14ac:dyDescent="0.3">
      <c r="A3" s="7" t="s">
        <v>2</v>
      </c>
      <c r="B3" s="2">
        <v>36</v>
      </c>
      <c r="C3" s="9">
        <v>6000000</v>
      </c>
      <c r="D3" s="9">
        <v>13000000</v>
      </c>
      <c r="E3" s="9">
        <v>17000000</v>
      </c>
    </row>
    <row r="4" spans="1:8" x14ac:dyDescent="0.3">
      <c r="A4" s="7" t="s">
        <v>3</v>
      </c>
      <c r="B4" s="2">
        <v>48</v>
      </c>
      <c r="C4" s="9">
        <v>10000000</v>
      </c>
      <c r="D4" s="9">
        <v>18000000</v>
      </c>
      <c r="E4" s="9">
        <v>23000000</v>
      </c>
    </row>
    <row r="5" spans="1:8" x14ac:dyDescent="0.3">
      <c r="A5" s="8" t="s">
        <v>5</v>
      </c>
      <c r="B5" s="6">
        <f>B2+B3+B4</f>
        <v>108</v>
      </c>
      <c r="C5" s="10">
        <f>(B2*C2)+(B3*C3)+(B4*C4)</f>
        <v>792000000</v>
      </c>
      <c r="D5" s="10">
        <f xml:space="preserve"> (B2*D2)+(B3*D3)+(B4*D4)</f>
        <v>1476000000</v>
      </c>
      <c r="E5" s="10">
        <f>(B2*E2)+(B3*E3)+(B4*E4)</f>
        <v>1932000000</v>
      </c>
      <c r="F5" s="20">
        <f>E5*0.22</f>
        <v>425040000</v>
      </c>
      <c r="G5" s="20">
        <f>F5-E29</f>
        <v>42040000</v>
      </c>
      <c r="H5" s="20"/>
    </row>
    <row r="6" spans="1:8" x14ac:dyDescent="0.3">
      <c r="A6" s="3"/>
      <c r="D6" s="4"/>
      <c r="G6" s="20"/>
    </row>
    <row r="7" spans="1:8" x14ac:dyDescent="0.3">
      <c r="A7" s="5" t="s">
        <v>7</v>
      </c>
      <c r="B7" s="7" t="s">
        <v>8</v>
      </c>
      <c r="C7" s="7" t="s">
        <v>12</v>
      </c>
      <c r="D7" s="7" t="s">
        <v>13</v>
      </c>
      <c r="F7" s="20"/>
      <c r="G7" s="20"/>
    </row>
    <row r="8" spans="1:8" x14ac:dyDescent="0.3">
      <c r="A8" s="7" t="s">
        <v>1</v>
      </c>
      <c r="B8" s="2">
        <v>17</v>
      </c>
      <c r="C8" s="9">
        <f>(B8*D2)</f>
        <v>102000000</v>
      </c>
      <c r="D8" s="9">
        <f>(B2*D2)-(B2*C2)</f>
        <v>48000000</v>
      </c>
    </row>
    <row r="9" spans="1:8" x14ac:dyDescent="0.3">
      <c r="A9" s="7" t="s">
        <v>2</v>
      </c>
      <c r="B9" s="2">
        <v>28</v>
      </c>
      <c r="C9" s="9">
        <f>(B9*D3)</f>
        <v>364000000</v>
      </c>
      <c r="D9" s="9">
        <f>C9-(B3*C3)</f>
        <v>148000000</v>
      </c>
      <c r="G9" s="4"/>
    </row>
    <row r="10" spans="1:8" x14ac:dyDescent="0.3">
      <c r="A10" s="7" t="s">
        <v>3</v>
      </c>
      <c r="B10" s="2">
        <v>18</v>
      </c>
      <c r="C10" s="15">
        <f>(B10*D4)</f>
        <v>324000000</v>
      </c>
      <c r="D10" s="15">
        <f>C10-(B4*C4)</f>
        <v>-156000000</v>
      </c>
    </row>
    <row r="11" spans="1:8" x14ac:dyDescent="0.3">
      <c r="A11" s="8" t="s">
        <v>5</v>
      </c>
      <c r="B11" s="6">
        <f>B8+B9</f>
        <v>45</v>
      </c>
      <c r="C11" s="16">
        <f>C8+C9+C10</f>
        <v>790000000</v>
      </c>
      <c r="D11" s="16">
        <f>D8+D9+D10</f>
        <v>40000000</v>
      </c>
    </row>
    <row r="13" spans="1:8" x14ac:dyDescent="0.3">
      <c r="A13" s="5" t="s">
        <v>11</v>
      </c>
      <c r="B13" s="7" t="s">
        <v>8</v>
      </c>
      <c r="C13" s="7" t="s">
        <v>12</v>
      </c>
      <c r="D13" s="7" t="s">
        <v>13</v>
      </c>
    </row>
    <row r="14" spans="1:8" x14ac:dyDescent="0.3">
      <c r="A14" s="7" t="s">
        <v>1</v>
      </c>
      <c r="B14" s="2"/>
      <c r="C14" s="15">
        <f>B14*E2</f>
        <v>0</v>
      </c>
      <c r="D14" s="15">
        <f>C14-(B2*C2)</f>
        <v>-96000000</v>
      </c>
    </row>
    <row r="15" spans="1:8" x14ac:dyDescent="0.3">
      <c r="A15" s="7" t="s">
        <v>2</v>
      </c>
      <c r="B15" s="2"/>
      <c r="C15" s="15">
        <f>B15*E3</f>
        <v>0</v>
      </c>
      <c r="D15" s="15">
        <f>C15-(B3*C3)</f>
        <v>-216000000</v>
      </c>
    </row>
    <row r="16" spans="1:8" x14ac:dyDescent="0.3">
      <c r="A16" s="7" t="s">
        <v>3</v>
      </c>
      <c r="B16" s="2">
        <v>22</v>
      </c>
      <c r="C16" s="15">
        <f>B16*E4</f>
        <v>506000000</v>
      </c>
      <c r="D16" s="15">
        <f>C16-(B4*C4)</f>
        <v>26000000</v>
      </c>
    </row>
    <row r="17" spans="1:7" x14ac:dyDescent="0.3">
      <c r="A17" s="8" t="s">
        <v>5</v>
      </c>
      <c r="B17" s="2">
        <v>22</v>
      </c>
      <c r="C17" s="16">
        <f>C14+C15+C16</f>
        <v>506000000</v>
      </c>
      <c r="D17" s="16">
        <f>D14+D15+D16</f>
        <v>-286000000</v>
      </c>
      <c r="G17" s="1"/>
    </row>
    <row r="19" spans="1:7" x14ac:dyDescent="0.3">
      <c r="A19" s="14" t="s">
        <v>14</v>
      </c>
      <c r="B19" s="7" t="s">
        <v>19</v>
      </c>
    </row>
    <row r="20" spans="1:7" x14ac:dyDescent="0.3">
      <c r="A20" s="7" t="s">
        <v>15</v>
      </c>
      <c r="B20" s="22">
        <f>C11</f>
        <v>790000000</v>
      </c>
    </row>
    <row r="21" spans="1:7" x14ac:dyDescent="0.3">
      <c r="A21" s="7" t="s">
        <v>16</v>
      </c>
      <c r="B21" s="16">
        <f>C17</f>
        <v>506000000</v>
      </c>
    </row>
    <row r="22" spans="1:7" x14ac:dyDescent="0.3">
      <c r="A22" s="8" t="s">
        <v>17</v>
      </c>
      <c r="B22" s="16">
        <f>C11+C17-C5</f>
        <v>504000000</v>
      </c>
    </row>
    <row r="24" spans="1:7" x14ac:dyDescent="0.3">
      <c r="A24" s="13" t="s">
        <v>18</v>
      </c>
    </row>
    <row r="25" spans="1:7" x14ac:dyDescent="0.3">
      <c r="A25" s="7" t="s">
        <v>0</v>
      </c>
      <c r="B25" s="7" t="s">
        <v>4</v>
      </c>
      <c r="C25" s="7" t="s">
        <v>6</v>
      </c>
      <c r="D25" s="11" t="s">
        <v>9</v>
      </c>
      <c r="E25" s="7" t="s">
        <v>10</v>
      </c>
      <c r="F25">
        <v>23.76</v>
      </c>
    </row>
    <row r="26" spans="1:7" x14ac:dyDescent="0.3">
      <c r="A26" s="7" t="s">
        <v>1</v>
      </c>
      <c r="B26" s="2">
        <v>7</v>
      </c>
      <c r="C26" s="9">
        <v>4000000</v>
      </c>
      <c r="D26" s="12">
        <v>6000000</v>
      </c>
      <c r="E26" s="9">
        <v>9000000</v>
      </c>
    </row>
    <row r="27" spans="1:7" x14ac:dyDescent="0.3">
      <c r="A27" s="7" t="s">
        <v>2</v>
      </c>
      <c r="B27" s="2">
        <v>8</v>
      </c>
      <c r="C27" s="9">
        <v>6000000</v>
      </c>
      <c r="D27" s="12">
        <v>13000000</v>
      </c>
      <c r="E27" s="9">
        <v>17000000</v>
      </c>
    </row>
    <row r="28" spans="1:7" x14ac:dyDescent="0.3">
      <c r="A28" s="7" t="s">
        <v>3</v>
      </c>
      <c r="B28" s="2">
        <v>8</v>
      </c>
      <c r="C28" s="9">
        <v>10000000</v>
      </c>
      <c r="D28" s="12">
        <v>17000000</v>
      </c>
      <c r="E28" s="9">
        <v>23000000</v>
      </c>
    </row>
    <row r="29" spans="1:7" x14ac:dyDescent="0.3">
      <c r="A29" s="8" t="s">
        <v>5</v>
      </c>
      <c r="B29" s="6">
        <f>B26+B27+B28</f>
        <v>23</v>
      </c>
      <c r="C29" s="10">
        <f>(B26*C26)+(B27*C27)+(B28*C28)</f>
        <v>156000000</v>
      </c>
      <c r="D29" s="12">
        <f xml:space="preserve"> (B26*D26)+(B27*D27)+(B28*D28)</f>
        <v>282000000</v>
      </c>
      <c r="E29" s="10">
        <f>(B26*E26)+(B27*E27)+(B28*E28)</f>
        <v>383000000</v>
      </c>
    </row>
    <row r="30" spans="1:7" x14ac:dyDescent="0.3">
      <c r="E30" s="21">
        <f>E29+G5</f>
        <v>425040000</v>
      </c>
    </row>
    <row r="31" spans="1:7" x14ac:dyDescent="0.3">
      <c r="A31" s="24" t="s">
        <v>38</v>
      </c>
      <c r="B31" s="25"/>
      <c r="C31" s="25"/>
      <c r="D31" s="25"/>
    </row>
    <row r="33" spans="1:5" x14ac:dyDescent="0.3">
      <c r="A33" s="7" t="s">
        <v>28</v>
      </c>
      <c r="B33" s="9">
        <v>9341531.0600000005</v>
      </c>
    </row>
    <row r="34" spans="1:5" x14ac:dyDescent="0.3">
      <c r="A34" s="7" t="s">
        <v>29</v>
      </c>
      <c r="B34" s="9">
        <v>24910749.5</v>
      </c>
    </row>
    <row r="35" spans="1:5" x14ac:dyDescent="0.3">
      <c r="A35" s="7" t="s">
        <v>32</v>
      </c>
      <c r="B35" s="9">
        <f>(C17+C11)*0.03</f>
        <v>38880000</v>
      </c>
    </row>
    <row r="36" spans="1:5" x14ac:dyDescent="0.3">
      <c r="A36" s="7" t="s">
        <v>30</v>
      </c>
      <c r="B36" s="9">
        <v>10000000</v>
      </c>
    </row>
    <row r="37" spans="1:5" x14ac:dyDescent="0.3">
      <c r="A37" s="7" t="s">
        <v>31</v>
      </c>
      <c r="B37" s="9">
        <v>300000</v>
      </c>
    </row>
    <row r="38" spans="1:5" x14ac:dyDescent="0.3">
      <c r="A38" s="7" t="s">
        <v>33</v>
      </c>
      <c r="B38" s="9">
        <v>15000</v>
      </c>
    </row>
    <row r="39" spans="1:5" x14ac:dyDescent="0.3">
      <c r="A39" s="7" t="s">
        <v>36</v>
      </c>
      <c r="B39" s="9">
        <v>34514640</v>
      </c>
    </row>
    <row r="40" spans="1:5" x14ac:dyDescent="0.3">
      <c r="A40" s="7" t="s">
        <v>34</v>
      </c>
      <c r="B40" s="18">
        <f>B33+B34+B35+B36+B37+B38+B39</f>
        <v>117961920.56</v>
      </c>
    </row>
    <row r="43" spans="1:5" x14ac:dyDescent="0.3">
      <c r="A43" s="7" t="s">
        <v>35</v>
      </c>
      <c r="B43" s="16">
        <f>(B22-B40-G5)</f>
        <v>343998079.44</v>
      </c>
      <c r="D43" s="20">
        <f>C5+B40</f>
        <v>909961920.55999994</v>
      </c>
      <c r="E43" s="20">
        <f>C11+C17</f>
        <v>1296000000</v>
      </c>
    </row>
    <row r="44" spans="1:5" x14ac:dyDescent="0.3">
      <c r="A44" s="7" t="s">
        <v>37</v>
      </c>
      <c r="B44" s="19">
        <f>(B43/C5)*100</f>
        <v>43.434100939393936</v>
      </c>
    </row>
  </sheetData>
  <mergeCells count="1">
    <mergeCell ref="A31:D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0BE6-DF9A-4F38-B1F5-0D692823223E}">
  <dimension ref="A1"/>
  <sheetViews>
    <sheetView workbookViewId="0">
      <selection activeCell="E3" sqref="E3"/>
    </sheetView>
  </sheetViews>
  <sheetFormatPr defaultRowHeight="14.4" x14ac:dyDescent="0.3"/>
  <sheetData>
    <row r="1" spans="1:1" x14ac:dyDescent="0.3">
      <c r="A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Profolios Projects</vt:lpstr>
      <vt:lpstr>FInancial Projections</vt:lpstr>
      <vt:lpstr>Sketch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Almasi Said</dc:creator>
  <cp:lastModifiedBy>Hassan Qaseem</cp:lastModifiedBy>
  <dcterms:created xsi:type="dcterms:W3CDTF">2025-07-20T14:52:05Z</dcterms:created>
  <dcterms:modified xsi:type="dcterms:W3CDTF">2026-01-11T22:20:57Z</dcterms:modified>
</cp:coreProperties>
</file>