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kedIn Content Calendar" sheetId="1" state="visible" r:id="rId3"/>
    <sheet name="Content Pillars" sheetId="2" state="visible" r:id="rId4"/>
    <sheet name="ICP Quick Reference" sheetId="3" state="visible" r:id="rId5"/>
    <sheet name="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<sst xmlns="http://schemas.openxmlformats.org/spreadsheetml/2006/main" count="622" uniqueCount="422">
  <si>
    <t xml:space="preserve">AI Memory Brain — LinkedIn Content Calendar  |  April–May 2026</t>
  </si>
  <si>
    <t xml:space="preserve">Date</t>
  </si>
  <si>
    <t xml:space="preserve">Day</t>
  </si>
  <si>
    <t xml:space="preserve">Wk</t>
  </si>
  <si>
    <t xml:space="preserve">Week Theme</t>
  </si>
  <si>
    <t xml:space="preserve">Content Pillar</t>
  </si>
  <si>
    <t xml:space="preserve">ICP Segment</t>
  </si>
  <si>
    <t xml:space="preserve">Post Format</t>
  </si>
  <si>
    <t xml:space="preserve">Hook / Headline</t>
  </si>
  <si>
    <t xml:space="preserve">Key Message &amp; Body Direction</t>
  </si>
  <si>
    <t xml:space="preserve">Supporting Asset Needed</t>
  </si>
  <si>
    <t xml:space="preserve">Source Material</t>
  </si>
  <si>
    <t xml:space="preserve">CTA</t>
  </si>
  <si>
    <t xml:space="preserve">Status</t>
  </si>
  <si>
    <t xml:space="preserve">Notes</t>
  </si>
  <si>
    <t xml:space="preserve">WEEK 1 — THE PROBLEM: Context Rot</t>
  </si>
  <si>
    <t xml:space="preserve">Apr 7, 2026</t>
  </si>
  <si>
    <t xml:space="preserve">Mon</t>
  </si>
  <si>
    <t xml:space="preserve">The Problem</t>
  </si>
  <si>
    <t xml:space="preserve">Context Rot</t>
  </si>
  <si>
    <t xml:space="preserve">All Segments</t>
  </si>
  <si>
    <t xml:space="preserve">Text Post</t>
  </si>
  <si>
    <t xml:space="preserve">Every AI session starts with total amnesia. Here's what that's actually costing you.</t>
  </si>
  <si>
    <t xml:space="preserve">Introduce the concept of Context Rot: every LLM session begins from zero. Re-explaining stack decisions, re-describing your ICP, re-briefing architecture — over and over. Quantify: 10–15 minutes per session × 20 sessions = 3–5 hours/month of pure waste. End with a teaser: 'There's an architecture that solves this.'</t>
  </si>
  <si>
    <t xml:space="preserve">None — pure text</t>
  </si>
  <si>
    <t xml:space="preserve">White Paper §1: Context Rot; Faruq conversation</t>
  </si>
  <si>
    <t xml:space="preserve">Like/share if you've experienced this</t>
  </si>
  <si>
    <t xml:space="preserve">Draft</t>
  </si>
  <si>
    <t xml:space="preserve">Kick-off post. Sets the problem frame for all future content.</t>
  </si>
  <si>
    <t xml:space="preserve">Apr 8, 2026</t>
  </si>
  <si>
    <t xml:space="preserve">Tue</t>
  </si>
  <si>
    <t xml:space="preserve">Operations Leaders</t>
  </si>
  <si>
    <t xml:space="preserve">Data / Stats Post</t>
  </si>
  <si>
    <t xml:space="preserve">Your team spent 4 hours last week re-explaining context to AI. Here's the math.</t>
  </si>
  <si>
    <t xml:space="preserve">Build out the compounding cost argument from the white paper. Session 1: explain from scratch. Session 5: AI re-discovers a bug fixed in Session 2. Session 20: architectural drift because AI contradicts Session 3. Frame this as technical debt that doesn't show up in code review. Ops leaders feel this acutely across Sales, Marketing, Finance.</t>
  </si>
  <si>
    <t xml:space="preserve">Simple table graphic (Session # vs. Without/With AI Memory)</t>
  </si>
  <si>
    <t xml:space="preserve">White Paper §1.2: Compounding Cost</t>
  </si>
  <si>
    <t xml:space="preserve">Tag a RevOps leader who'd relate to this</t>
  </si>
  <si>
    <t xml:space="preserve">Exhibit 1 table from white paper is perfect visual here.</t>
  </si>
  <si>
    <t xml:space="preserve">Apr 9, 2026</t>
  </si>
  <si>
    <t xml:space="preserve">Wed</t>
  </si>
  <si>
    <t xml:space="preserve">AI Agent Builders</t>
  </si>
  <si>
    <t xml:space="preserve">Question / Discussion Post</t>
  </si>
  <si>
    <t xml:space="preserve">What happens to your AI agent's accumulated knowledge when the context window closes?</t>
  </si>
  <si>
    <t xml:space="preserve">Open-ended question targeted at builders. Acknowledge the common 'workarounds' (system prompts, RAG, chat history) and why each falls short. Reference the white paper comparison table. Position this as a universal problem every builder hits in production. Goal: drive comments from builders sharing their pain.</t>
  </si>
  <si>
    <t xml:space="preserve">None — pure text with question</t>
  </si>
  <si>
    <t xml:space="preserve">White Paper §2: Why Existing Approaches Fall Short</t>
  </si>
  <si>
    <t xml:space="preserve">Drop your current workaround in the comments</t>
  </si>
  <si>
    <t xml:space="preserve">High engagement potential. Reply to every comment.</t>
  </si>
  <si>
    <t xml:space="preserve">Apr 10, 2026</t>
  </si>
  <si>
    <t xml:space="preserve">Thu</t>
  </si>
  <si>
    <t xml:space="preserve">B2B Lead Gen Operators</t>
  </si>
  <si>
    <t xml:space="preserve">Storytelling Post</t>
  </si>
  <si>
    <t xml:space="preserve">I managed 77 user stories across 3 projects with AI. Here's what happened to the knowledge every time a session ended.</t>
  </si>
  <si>
    <t xml:space="preserve">Story format from Faruq's perspective (position as a case study). 77 stories, 22 sessions, and the AI kept starting from scratch until the memory system was built. Bridge to the B2B angle: imagine running 50 client campaigns and your AI forgets each client's ICP, brand voice, and winning angles every single session. That's the problem.</t>
  </si>
  <si>
    <t xml:space="preserve">None — storytelling post</t>
  </si>
  <si>
    <t xml:space="preserve">White Paper §7: 3 Live Deployments; Faruq conversation</t>
  </si>
  <si>
    <t xml:space="preserve">Save this post for when you're re-explaining context again</t>
  </si>
  <si>
    <t xml:space="preserve">Narrative hook. Faruq's voice works well here.</t>
  </si>
  <si>
    <t xml:space="preserve">Apr 11, 2026</t>
  </si>
  <si>
    <t xml:space="preserve">Fri</t>
  </si>
  <si>
    <t xml:space="preserve">Engagement / Poll</t>
  </si>
  <si>
    <t xml:space="preserve">What do you re-explain to AI every single session?</t>
  </si>
  <si>
    <t xml:space="preserve">Poll format: options like 'My tech stack / tools', 'Client or customer context', 'My brand voice and style', 'Project history and decisions'. Follow-up text: 'If you picked any of the above — there's a system that eliminates that.' Light teaser for Week 2.</t>
  </si>
  <si>
    <t xml:space="preserve">LinkedIn Poll (4 options)</t>
  </si>
  <si>
    <t xml:space="preserve">ICP Analysis: all segment pain points</t>
  </si>
  <si>
    <t xml:space="preserve">Vote + comment your most painful re-explanation</t>
  </si>
  <si>
    <t xml:space="preserve">End-of-week engagement reset. Poll drives reach.</t>
  </si>
  <si>
    <t xml:space="preserve">WEEK 2 — THE ARCHITECTURE: The Solution</t>
  </si>
  <si>
    <t xml:space="preserve">Apr 14, 2026</t>
  </si>
  <si>
    <t xml:space="preserve">The Architecture</t>
  </si>
  <si>
    <t xml:space="preserve">Architecture</t>
  </si>
  <si>
    <t xml:space="preserve">Carousel / Infographic</t>
  </si>
  <si>
    <t xml:space="preserve">3-tier lazy loading: how AI Memory Brain loads only what it needs — using &lt;5% of the context window.</t>
  </si>
  <si>
    <t xml:space="preserve">Visualize the 3-tier diagram from the white paper. Tier 1: Always Read (Master context, architecture, 2 recent sessions — &lt;10K tokens). Tier 2: Index Only (scan keywords, drill on match — 50+ decision files in &lt;1K tokens). Tier 3: On-Demand (production guides, API keys, archives — never loaded speculatively). Explain why this beats RAG and vector DBs.</t>
  </si>
  <si>
    <t xml:space="preserve">3-tier diagram (Exhibit 1 from white paper)</t>
  </si>
  <si>
    <t xml:space="preserve">White Paper §3.1: Three-Tier Lazy-Loading Memory Model</t>
  </si>
  <si>
    <t xml:space="preserve">Save this diagram for your next agent architecture review</t>
  </si>
  <si>
    <t xml:space="preserve">First architecture reveal post. Should generate saves.</t>
  </si>
  <si>
    <t xml:space="preserve">Apr 15, 2026</t>
  </si>
  <si>
    <t xml:space="preserve">Framework Post</t>
  </si>
  <si>
    <t xml:space="preserve">The Session Lifecycle Protocol: the 3-phase system that makes AI memory work in production.</t>
  </si>
  <si>
    <t xml:space="preserve">Lay out the lifecycle: Open (git sync → load Tier 1 → scan Tier 2 → create live files → summarize). Active Work (live file pattern: write continuously, not at session end). Close (finalize files, update all indexes, recategorize risks, push to git). Emphasize for ops leaders: this is what 'AI discipline' looks like organizationally.</t>
  </si>
  <si>
    <t xml:space="preserve">Linear diagram: Open → Work → Close</t>
  </si>
  <si>
    <t xml:space="preserve">White Paper §4: Session Lifecycle Protocol</t>
  </si>
  <si>
    <t xml:space="preserve">Does your team have a session open/close discipline for AI?</t>
  </si>
  <si>
    <t xml:space="preserve">Faruq's open/close mandate from conversation reinforces this.</t>
  </si>
  <si>
    <t xml:space="preserve">Apr 16, 2026</t>
  </si>
  <si>
    <t xml:space="preserve">Enterprise CTOs</t>
  </si>
  <si>
    <t xml:space="preserve">Technical Deep Dive</t>
  </si>
  <si>
    <t xml:space="preserve">51 domain agents across 20 departments. One shared memory architecture. Here's how it works.</t>
  </si>
  <si>
    <t xml:space="preserve">For the CTO audience: explain the departmental folder structure (Exhibit 3 from white paper). Marketing, Security, Finance, Product Dev, Executive, Operations, TechSupport, etc. Each folder follows the same protocol. One MCP server shared across all projects. Keyword-indexed decision files. Full git audit trail. Model-agnostic. No vector DB. No embeddings. No retraining.</t>
  </si>
  <si>
    <t xml:space="preserve">Folder structure diagram (Exhibit 3 from white paper)</t>
  </si>
  <si>
    <t xml:space="preserve">White Paper §5: Departmental File Organization; ICP §7</t>
  </si>
  <si>
    <t xml:space="preserve">Book a technical architecture briefing</t>
  </si>
  <si>
    <t xml:space="preserve">Most technical post of the week. High-value for CTO segment.</t>
  </si>
  <si>
    <t xml:space="preserve">Apr 17, 2026</t>
  </si>
  <si>
    <t xml:space="preserve">Before / After Post</t>
  </si>
  <si>
    <t xml:space="preserve">10–15 minutes to brief AI on a client campaign → 30 seconds. What changed.</t>
  </si>
  <si>
    <t xml:space="preserve">Before/After format targeting lead gen operators. Before: every session, re-explain client ICP, campaign history, brand voice, objection handling, winning angles. After: AI reads Tier 1 context in 30 seconds and picks up exactly where it left off. Quantify: 50 campaigns × 10 mins/session × 20 sessions = 167 hours saved/month.</t>
  </si>
  <si>
    <t xml:space="preserve">Before/After comparison card</t>
  </si>
  <si>
    <t xml:space="preserve">White Paper §3 context recovery time; ICP §4 pain points</t>
  </si>
  <si>
    <t xml:space="preserve">Calculate your own context recovery ROI</t>
  </si>
  <si>
    <t xml:space="preserve">ROI hook for agency operators. Make the math undeniable.</t>
  </si>
  <si>
    <t xml:space="preserve">Apr 18, 2026</t>
  </si>
  <si>
    <t xml:space="preserve">Explainer / Thought Leadership</t>
  </si>
  <si>
    <t xml:space="preserve">Why Git is the best memory system for AI — and why no one talks about it.</t>
  </si>
  <si>
    <t xml:space="preserve">Contrarian take: everyone's building vector databases and RAG pipelines for AI memory. But git already solves version control, audit trails, portability, and team collaboration for human developers. AI Memory Brain just extends that to AI context. Human-readable, no proprietary formats, works offline, full diff history. The simplest solution wins.</t>
  </si>
  <si>
    <t xml:space="preserve">None — text post</t>
  </si>
  <si>
    <t xml:space="preserve">White Paper §9: Git as Persistence Layer innovation</t>
  </si>
  <si>
    <t xml:space="preserve">What memory architecture are you using today?</t>
  </si>
  <si>
    <t xml:space="preserve">Contrarian angle. Good for thought leadership reach.</t>
  </si>
  <si>
    <t xml:space="preserve">WEEK 3 — COMPETITIVE: Why AI Memory Brain Wins</t>
  </si>
  <si>
    <t xml:space="preserve">Apr 21, 2026</t>
  </si>
  <si>
    <t xml:space="preserve">Competitive</t>
  </si>
  <si>
    <t xml:space="preserve">Comparison Post</t>
  </si>
  <si>
    <t xml:space="preserve">Mem0 vs. Zep vs. Letta vs. AI Memory Brain. A real comparison — not a sales pitch.</t>
  </si>
  <si>
    <t xml:space="preserve">Honest competitive breakdown. Mem0: great for single agents, adaptive multi-store memory. Zep: temporal knowledge graph, time-aware retrieval. Letta: self-editing memory blocks, persistent assistants. AI Memory Brain: only one with pre-built domain expertise across 20 departments, git-backed audit trail, non-technical deployment, and CC/DE governance. Be honest about where others win (retrieval speed, dev SDKs). Position where AMB wins: organizational memory for non-technical operators.</t>
  </si>
  <si>
    <t xml:space="preserve">Comparison table</t>
  </si>
  <si>
    <t xml:space="preserve">Competitive Analysis: 14 competitors profiled; ICP §8-9</t>
  </si>
  <si>
    <t xml:space="preserve">Which memory solution are you evaluating? I'll give you a real comparison.</t>
  </si>
  <si>
    <t xml:space="preserve">Honest = trusted. This builds authority with CTO segment.</t>
  </si>
  <si>
    <t xml:space="preserve">Apr 22, 2026</t>
  </si>
  <si>
    <t xml:space="preserve">Hot Take / Opinion Post</t>
  </si>
  <si>
    <t xml:space="preserve">ChatGPT Memory is for chatbots. AI Memory Brain is for businesses. Here's the difference.</t>
  </si>
  <si>
    <t xml:space="preserve">Foundation model native memory (ChatGPT, Claude, Gemini) solves personal memory — individual user preferences, conversation continuity. Zero cross-session organizational memory, no department structure, no audit trail, vendor lock-in. AI Memory Brain solves organizational memory — the knowledge your company accumulates across all AI interactions, all departments, all sessions. Different problem. Different solution.</t>
  </si>
  <si>
    <t xml:space="preserve">None — opinion post</t>
  </si>
  <si>
    <t xml:space="preserve">Competitive Analysis: Tier 1 Foundation model native memory</t>
  </si>
  <si>
    <t xml:space="preserve">Save if your ops team is relying on ChatGPT Memory for business context</t>
  </si>
  <si>
    <t xml:space="preserve">Differentiates from the most recognized competitor.</t>
  </si>
  <si>
    <t xml:space="preserve">Apr 23, 2026</t>
  </si>
  <si>
    <t xml:space="preserve">Niche Technical Post</t>
  </si>
  <si>
    <t xml:space="preserve">We don't use vector databases. Here's why that's actually a feature.</t>
  </si>
  <si>
    <t xml:space="preserve">Technical post for builders. Vector DBs: opaque retrieval, no human-readable audit trail, requires embedding pipelines, expensive at scale, can't be reviewed by a human. AI Memory Brain: Markdown files in Git. Diff history on every decision. Human-readable. Portable. Works with any LLM without retraining. 3-tier loading beats semantic search for structured project memory. Not anti-RAG — just a different tool for a different problem.</t>
  </si>
  <si>
    <t xml:space="preserve">None — technical text post</t>
  </si>
  <si>
    <t xml:space="preserve">White Paper §2: Why Existing Approaches Fall Short; §9 innovations</t>
  </si>
  <si>
    <t xml:space="preserve">Would you give up vector retrieval speed for full human-readable audit trails?</t>
  </si>
  <si>
    <t xml:space="preserve">Niche but high-engagement with serious builders.</t>
  </si>
  <si>
    <t xml:space="preserve">Apr 24, 2026</t>
  </si>
  <si>
    <t xml:space="preserve">Accessibility Post</t>
  </si>
  <si>
    <t xml:space="preserve">Most AI memory tools require a developer to set up. Ours requires Markdown.</t>
  </si>
  <si>
    <t xml:space="preserve">Pain point for agencies: they need powerful AI memory but don't have engineering teams to implement Mem0 or Zep. AI Memory Brain is file-based — any team member can read the context files, update them, and understand what the AI knows. No SDK. No API calls. No infrastructure. Deployed via Git. Runs in any AI client (Claude, ChatGPT, Gemini). This is the unfair advantage for non-technical operators.</t>
  </si>
  <si>
    <t xml:space="preserve">None — text post with contrast</t>
  </si>
  <si>
    <t xml:space="preserve">ICP §9: Where AI Memory Brain Wins; competitive analysis</t>
  </si>
  <si>
    <t xml:space="preserve">Does your agency have an engineering team to implement Mem0?</t>
  </si>
  <si>
    <t xml:space="preserve">Non-technical deployment is a key differentiator for this segment.</t>
  </si>
  <si>
    <t xml:space="preserve">Apr 25, 2026</t>
  </si>
  <si>
    <t xml:space="preserve">Vision / Thought Leadership</t>
  </si>
  <si>
    <t xml:space="preserve">The future of AI isn't personal memory. It's organizational memory. Here's what that looks like.</t>
  </si>
  <si>
    <t xml:space="preserve">Zoom out: personal AI memory (ChatGPT remembering your preferences) is useful but small. The real opportunity is organizational memory — every decision, every campaign result, every client interaction, every architectural choice accumulated and accessible to every AI session across the entire company. That's the next phase of AI adoption. The companies that build this first will have an insurmountable knowledge advantage.</t>
  </si>
  <si>
    <t xml:space="preserve">None — vision post</t>
  </si>
  <si>
    <t xml:space="preserve">White Paper executive summary; ICP analysis; Faruq conversation on acceleration to 2026</t>
  </si>
  <si>
    <t xml:space="preserve">What would your company look like if your AI remembered everything?</t>
  </si>
  <si>
    <t xml:space="preserve">End-of-week macro vision. High shareability.</t>
  </si>
  <si>
    <t xml:space="preserve">WEEK 4 — SOCIAL PROOF: Production Results</t>
  </si>
  <si>
    <t xml:space="preserve">Apr 28, 2026</t>
  </si>
  <si>
    <t xml:space="preserve">Social Proof</t>
  </si>
  <si>
    <t xml:space="preserve">Results / Case Study</t>
  </si>
  <si>
    <t xml:space="preserve">77 user stories. 22 sessions. 30+ architectural decision files. 0 open risks. Production AI memory in action.</t>
  </si>
  <si>
    <t xml:space="preserve">Deep dive into Sovrynty deployment. A zero-trust crypto financial platform managed across 2 major releases, 19 epics, 77 completed stories. All through AI_Memory. The AI tracked 14 APK versions, integrated Bridge.xyz, Openfort, deployed to Fly.io and Hetzner. Any new session can find prior decisions on Docker config, webhook state machines, FIDO2 auth in under 30 seconds via keyword index. This is production. Not demo.</t>
  </si>
  <si>
    <t xml:space="preserve">Key metrics table from white paper</t>
  </si>
  <si>
    <t xml:space="preserve">White Paper §7.1: Sovrynty deployment</t>
  </si>
  <si>
    <t xml:space="preserve">Ask me about deploying this for your AI infrastructure</t>
  </si>
  <si>
    <t xml:space="preserve">Proof post — hardest to argue with. Sets production credibility.</t>
  </si>
  <si>
    <t xml:space="preserve">Apr 29, 2026</t>
  </si>
  <si>
    <t xml:space="preserve">Technical Case Study</t>
  </si>
  <si>
    <t xml:space="preserve">Eve-oc: a 24/7 personal AI assistant running 4 different models through one memory layer. How we built it.</t>
  </si>
  <si>
    <t xml:space="preserve">Break down the Eve-oc deployment: OpenClaw framework, Docker on Hetzner, WhatsApp Business access, multi-model routing (Gemini Flash for standard, Gemini Pro for reasoning, Claude for code). Same AI Memory Brain architecture serves all four models through a unified context layer. This is model-agnostic design in production. One memory system, many models.</t>
  </si>
  <si>
    <t xml:space="preserve">Architecture diagram for Eve-oc multi-model routing</t>
  </si>
  <si>
    <t xml:space="preserve">White Paper §7.3: Eve-oc deployment</t>
  </si>
  <si>
    <t xml:space="preserve">Drop a comment if you're building multi-model agent systems</t>
  </si>
  <si>
    <t xml:space="preserve">Highly relevant to agent builders evaluating multi-model architectures.</t>
  </si>
  <si>
    <t xml:space="preserve">Apr 30, 2026</t>
  </si>
  <si>
    <t xml:space="preserve">ROI / Metrics Post</t>
  </si>
  <si>
    <t xml:space="preserve">Context recovery time: 10–15 minutes → 30 seconds. That's what persistent AI memory does to your operations.</t>
  </si>
  <si>
    <t xml:space="preserve">Frame for ops leaders: every time your team starts an AI session on a complex workflow, they re-brief. Multiply that by your team × sessions × months. Then flip the math: with AI Memory Brain, the AI reads Tier 1 context in under 30 seconds. No re-briefing. No re-explaining. 22+ sessions logged on one project alone — all inheriting perfect state from the prior session. Here's what that looks like at scale.</t>
  </si>
  <si>
    <t xml:space="preserve">Time-saving calculation table</t>
  </si>
  <si>
    <t xml:space="preserve">White Paper §4.1, key metrics table</t>
  </si>
  <si>
    <t xml:space="preserve">Calculate your team's context recovery ROI — DM me the math</t>
  </si>
  <si>
    <t xml:space="preserve">ROI framing for the ops segment decision-makers.</t>
  </si>
  <si>
    <t xml:space="preserve">May 1, 2026</t>
  </si>
  <si>
    <t xml:space="preserve">Reflection / Community Post</t>
  </si>
  <si>
    <t xml:space="preserve">What I've learned from deploying AI memory across 3 production projects spanning crypto finance, AI context products, and multi-model personal assistants.</t>
  </si>
  <si>
    <t xml:space="preserve">Reflective post — personal learnings from the 3 deployments. Top lessons: 1) Closure protocol is more important than opening protocol. 2) The Tier 2 keyword index is the highest-leverage investment. 3) Git audit trails become invaluable at Session 10+. 4) Non-technical team members read and update the files — that's unexpected and powerful. 5) The system evolves the project; the project doesn't evolve the system.</t>
  </si>
  <si>
    <t xml:space="preserve">None — reflective text</t>
  </si>
  <si>
    <t xml:space="preserve">White Paper §8: System Evolution; Faruq conversation</t>
  </si>
  <si>
    <t xml:space="preserve">What's your most painful AI context lesson? Share below.</t>
  </si>
  <si>
    <t xml:space="preserve">Authentic voice post — high trust-builder.</t>
  </si>
  <si>
    <t xml:space="preserve">WEEK 5 — ICP DEEP DIVE: AI Agent Builders</t>
  </si>
  <si>
    <t xml:space="preserve">May 5, 2026</t>
  </si>
  <si>
    <t xml:space="preserve">ICP Deep Dive</t>
  </si>
  <si>
    <t xml:space="preserve">Problem-Specific Post</t>
  </si>
  <si>
    <t xml:space="preserve">Your agents forget everything between sessions. Your clients pay for intelligence that evaporates every time the window closes.</t>
  </si>
  <si>
    <t xml:space="preserve">Direct address to agent builders. Name the specific pain: stateless agents in production. Demo agents work. Production agents fail because they can't handle multi-session complexity. Context window stuffing is expensive and unreliable. RAG helps but doesn't solve structured project memory. Every client engagement starts from zero. Then present the alternative: a 3-tier architecture running 51 agents in production.</t>
  </si>
  <si>
    <t xml:space="preserve">None — direct text</t>
  </si>
  <si>
    <t xml:space="preserve">ICP §6: AI Agent Builders segment; white paper §3</t>
  </si>
  <si>
    <t xml:space="preserve">What's your current approach to agent memory across sessions?</t>
  </si>
  <si>
    <t xml:space="preserve">Direct address post converts best for Tier 1 ICP.</t>
  </si>
  <si>
    <t xml:space="preserve">May 6, 2026</t>
  </si>
  <si>
    <t xml:space="preserve">Technical Tutorial</t>
  </si>
  <si>
    <t xml:space="preserve">The 3-tier lazy-loading memory architecture: a system diagram every agent builder should see.</t>
  </si>
  <si>
    <t xml:space="preserve">Detailed technical walkthrough of the architecture. How to implement Tier 1 (always-read context files), Tier 2 (keyword index pattern), and Tier 3 (on-demand loading). Why this beats stuffing everything into the system prompt. How git becomes your persistence layer. Token math: Tier 1 &lt;10K tokens, Tier 2 &lt;1K tokens for 50+ decisions. Full project history, &lt;5% context usage.</t>
  </si>
  <si>
    <t xml:space="preserve">Annotated 3-tier architecture diagram</t>
  </si>
  <si>
    <t xml:space="preserve">White Paper §3: AI_Memory Architecture</t>
  </si>
  <si>
    <t xml:space="preserve">Save this — share with your team before your next agent build</t>
  </si>
  <si>
    <t xml:space="preserve">Technical depth post. Most saved/shared for this segment.</t>
  </si>
  <si>
    <t xml:space="preserve">May 7, 2026</t>
  </si>
  <si>
    <t xml:space="preserve">LangMem vs. AI Memory Brain: what's the actual difference for production agents?</t>
  </si>
  <si>
    <t xml:space="preserve">Honest comparison: LangMem (LangChain's memory solution) uses rolling summarization and is tightly coupled to LangGraph. Great for conversational agents. Limited for complex multi-department project memory. AI Memory Brain: file-based, model-agnostic, git-backed, human-readable, works without LangChain dependency. Best use case for AI Memory Brain: multi-session production agents managing complex, structured project knowledge across departments.</t>
  </si>
  <si>
    <t xml:space="preserve">Side-by-side comparison table</t>
  </si>
  <si>
    <t xml:space="preserve">Competitive analysis: LangMem profile; ICP §6</t>
  </si>
  <si>
    <t xml:space="preserve">Which memory approach is your production stack using?</t>
  </si>
  <si>
    <t xml:space="preserve">Comparison posts drive high engagement from technical audience.</t>
  </si>
  <si>
    <t xml:space="preserve">May 8, 2026</t>
  </si>
  <si>
    <t xml:space="preserve">CTA / Offer Post</t>
  </si>
  <si>
    <t xml:space="preserve">Free architecture review: does your agent stack need persistent memory? I'll tell you in 30 minutes.</t>
  </si>
  <si>
    <t xml:space="preserve">Direct CTA post. Offer: 30-minute free architecture review call for agent builders. What I'll cover: current memory approach assessment, where persistent memory would add the most value, 3 quick wins to implement this week. Soft pitch: for teams that want full implementation, we offer an architecture consultation package. Scarcity: 5 spots this month.</t>
  </si>
  <si>
    <t xml:space="preserve">None — clean CTA post</t>
  </si>
  <si>
    <t xml:space="preserve">ICP §10: Tier 1 immediate target; §11 outreach strategy</t>
  </si>
  <si>
    <t xml:space="preserve">DM me 'MEMORY AUDIT' to book your spot</t>
  </si>
  <si>
    <t xml:space="preserve">Conversion post. End of segment week with clear CTA.</t>
  </si>
  <si>
    <t xml:space="preserve">WEEK 6 — ICP DEEP DIVE: B2B Lead Gen Operators</t>
  </si>
  <si>
    <t xml:space="preserve">May 11, 2026</t>
  </si>
  <si>
    <t xml:space="preserve">ROI Hook Post</t>
  </si>
  <si>
    <t xml:space="preserve">You're running 50 client campaigns. Your AI starts completely fresh on every single one.</t>
  </si>
  <si>
    <t xml:space="preserve">Lead gen specific pain: 50 campaigns, each with unique ICP definitions, brand voice, winning copy angles, objection handling, reply patterns — and AI has zero memory of any of it. Every session: re-explain. Every session: re-train. Every session: start from scratch. The competitor running AI Memory Brain has all of that stored and instantly loadable. Which agency would you rather be?</t>
  </si>
  <si>
    <t xml:space="preserve">None — punchy text post</t>
  </si>
  <si>
    <t xml:space="preserve">ICP §4: B2B Lead Gen segment; Faruq conversation campaign context</t>
  </si>
  <si>
    <t xml:space="preserve">Tag an agency owner who's running AI without persistent memory</t>
  </si>
  <si>
    <t xml:space="preserve">Agency-to-agency angle. High tagging potential.</t>
  </si>
  <si>
    <t xml:space="preserve">May 12, 2026</t>
  </si>
  <si>
    <t xml:space="preserve">The campaign memory stack: how we store 12 months of campaign intelligence so it never gets lost.</t>
  </si>
  <si>
    <t xml:space="preserve">Practical framework post. What to store in campaign memory: ICP definition (company size, title, pain points, triggers), winning copy angles (subject lines, opening hooks, CTAs), reply patterns (what response types indicate buying intent), objection handling (top 5 objections + proven responses), competitive intel (what works vs. each competitor). How the 3-tier system loads it: Tier 1 for active client context, Tier 3 for historical archives.</t>
  </si>
  <si>
    <t xml:space="preserve">Campaign memory stack diagram</t>
  </si>
  <si>
    <t xml:space="preserve">ICP §4 pain points; white paper §3 architecture applied to lead gen</t>
  </si>
  <si>
    <t xml:space="preserve">Save this framework for your next campaign setup</t>
  </si>
  <si>
    <t xml:space="preserve">Highly practical. Best post for agency bookmarks.</t>
  </si>
  <si>
    <t xml:space="preserve">May 13, 2026</t>
  </si>
  <si>
    <t xml:space="preserve">What running 50 client campaigns with persistent AI memory actually looks like after 90 days.</t>
  </si>
  <si>
    <t xml:space="preserve">Narrative/projection format. Day 1: AI knows nothing, you manually brief every campaign. Day 30: AI has all 50 client ICPs, brand voices, and initial results loaded. Day 60: AI starts identifying patterns across campaigns — what works in SaaS vs. recruiting vs. real estate. Day 90: AI personalizes outreach at a level no stateless system can match because it actually remembers what's worked. This is the compounding advantage.</t>
  </si>
  <si>
    <t xml:space="preserve">Timeline progression graphic</t>
  </si>
  <si>
    <t xml:space="preserve">ICP §4: cross-campaign learning pain point; white paper compounding cost framing</t>
  </si>
  <si>
    <t xml:space="preserve">Where are you in this 90-day progression?</t>
  </si>
  <si>
    <t xml:space="preserve">Shows compounding value over time — key for justifying implementation cost.</t>
  </si>
  <si>
    <t xml:space="preserve">May 15, 2026</t>
  </si>
  <si>
    <t xml:space="preserve">CTA Post</t>
  </si>
  <si>
    <t xml:space="preserve">Campaign memory audit: free 30-minute call. I'll map exactly where your agency is losing campaign intelligence.</t>
  </si>
  <si>
    <t xml:space="preserve">Direct CTA for lead gen operators. What we cover: current AI toolstack assessment, where campaign memory is leaking, 3 immediate wins for persistent campaign context, ROI estimate for your specific campaign volume. Ironic positioning: reach out via cold message to book an audit about better cold outreach. 5 spots available.</t>
  </si>
  <si>
    <t xml:space="preserve">None — clean CTA</t>
  </si>
  <si>
    <t xml:space="preserve">ICP §11 outreach strategy for B2B Lead Gen</t>
  </si>
  <si>
    <t xml:space="preserve">DM me 'CAMPAIGN AUDIT' to claim a spot</t>
  </si>
  <si>
    <t xml:space="preserve">End-of-week CTA. Lean into the irony for this segment.</t>
  </si>
  <si>
    <t xml:space="preserve">WEEK 7 — ICP DEEP DIVE: Operations Leaders / RevOps</t>
  </si>
  <si>
    <t xml:space="preserve">May 18, 2026</t>
  </si>
  <si>
    <t xml:space="preserve">Problem Post</t>
  </si>
  <si>
    <t xml:space="preserve">Your Salesforce has the data. Your AI has the intelligence. They don't talk to each other. And your team pays for that disconnect every day.</t>
  </si>
  <si>
    <t xml:space="preserve">Ops leader specific pain: CRM has deal history, call recordings, pipeline data. AI (ChatGPT, Claude, Copilot) has the ability to analyze, summarize, recommend. But they don't share memory. Every analyst re-loads the same data. No memory of why last quarter's enterprise deals stalled at legal. No memory of seasonal patterns that repeat every year. No memory of why specific reps over/underperform. AI Memory Brain bridges this gap — organizational memory that connects your data to your AI intelligence.</t>
  </si>
  <si>
    <t xml:space="preserve">ICP §5: Operations Leaders segment pain points</t>
  </si>
  <si>
    <t xml:space="preserve">What's the most expensive data-AI disconnect in your ops stack?</t>
  </si>
  <si>
    <t xml:space="preserve">Opens the RevOps week with a sharp pain-point hook.</t>
  </si>
  <si>
    <t xml:space="preserve">May 19, 2026</t>
  </si>
  <si>
    <t xml:space="preserve">Solution Post</t>
  </si>
  <si>
    <t xml:space="preserve">What 51 domain agents across Sales, Marketing, Finance, Operations, and Legal actually looks like in production.</t>
  </si>
  <si>
    <t xml:space="preserve">Detailed breakdown of the departmental structure. Each department has dedicated agents with persistent memory of that domain's context, decisions, and accumulated intelligence. Sales agent: win/loss patterns, rep behavior profiles, deal velocity history. Finance agent: budget decisions, model assumptions, cash flow patterns. Legal agent: contract risk patterns, negotiation history, compliance decisions. All coordinated under CCDE governance. This is organizational AI memory.</t>
  </si>
  <si>
    <t xml:space="preserve">Department map visualization</t>
  </si>
  <si>
    <t xml:space="preserve">White Paper §5: Departmental Organization; ICP §5</t>
  </si>
  <si>
    <t xml:space="preserve">Which department would benefit most from persistent AI memory in your org?</t>
  </si>
  <si>
    <t xml:space="preserve">High-value visual post for ops leaders.</t>
  </si>
  <si>
    <t xml:space="preserve">May 20, 2026</t>
  </si>
  <si>
    <t xml:space="preserve">Governance Post</t>
  </si>
  <si>
    <t xml:space="preserve">The CCDE Standard: military-inspired AI governance for business operations.</t>
  </si>
  <si>
    <t xml:space="preserve">Explain Centralized Command, Decentralized Execution for a business audience. The insight from Faruq's conversation: organizational standards live at the root level (centralized), but each project folder gets its own copy of those standards and can evolve them locally (decentralized execution). This prevents organizational drift while allowing project-level adaptation. For ops leaders: this is how you govern AI across 20 departments without everything becoming a committee.</t>
  </si>
  <si>
    <t xml:space="preserve">CCDE structure diagram</t>
  </si>
  <si>
    <t xml:space="preserve">Faruq Hunter conversation: CCDE discussion; ICP §5</t>
  </si>
  <si>
    <t xml:space="preserve">Does your ops team have a governance model for AI decision-making?</t>
  </si>
  <si>
    <t xml:space="preserve">Unique angle — governance-focused ops leaders will engage.</t>
  </si>
  <si>
    <t xml:space="preserve">May 22, 2026</t>
  </si>
  <si>
    <t xml:space="preserve">Department AI readiness assessment: free for operations leaders. Find out what your ops stack is actually retaining across AI sessions.</t>
  </si>
  <si>
    <t xml:space="preserve">Structured CTA. What the assessment covers: current AI toolstack audit across departments, where institutional knowledge is being lost, which departments are highest-priority for AI memory implementation, estimated ROI for your specific team size and session frequency. Offer: free 45-minute assessment, 3 deliverables (current state map, gap analysis, quick win roadmap). 3 spots this month.</t>
  </si>
  <si>
    <t xml:space="preserve">None — CTA post</t>
  </si>
  <si>
    <t xml:space="preserve">ICP §10-11: Tier 1 target, outreach strategy for Ops Leaders</t>
  </si>
  <si>
    <t xml:space="preserve">DM me 'OPS ASSESSMENT' to book your evaluation</t>
  </si>
  <si>
    <t xml:space="preserve">End-of-week CTA for highest-LTV segment.</t>
  </si>
  <si>
    <t xml:space="preserve">WEEK 8 — CONVERSION: The Close</t>
  </si>
  <si>
    <t xml:space="preserve">May 26, 2026</t>
  </si>
  <si>
    <t xml:space="preserve">Thought Leadership</t>
  </si>
  <si>
    <t xml:space="preserve">Behind-the-Scenes Post</t>
  </si>
  <si>
    <t xml:space="preserve">This is what 150 MB of organizational AI memory looks like. Everything your AI knows. Portable on a flash drive.</t>
  </si>
  <si>
    <t xml:space="preserve">Demystify the system. Total file size: ~150 MB. Includes master AI context, 51 domain agents, all session histories, all decision records, all standards and policies, all project staging. Portable: plug in a flash drive, the entire AI memory moves with you. Transfer or restart anywhere. This is the antithesis of vendor lock-in. Your AI memory belongs to you.</t>
  </si>
  <si>
    <t xml:space="preserve">File tree screenshot or simple visual</t>
  </si>
  <si>
    <t xml:space="preserve">Faruq conversation: low memory footprint; white paper §3</t>
  </si>
  <si>
    <t xml:space="preserve">Would you rather have AI memory that fits on a flash drive or locked in a cloud vendor?</t>
  </si>
  <si>
    <t xml:space="preserve">Portability is a powerful, tangible differentiator.</t>
  </si>
  <si>
    <t xml:space="preserve">May 27, 2026</t>
  </si>
  <si>
    <t xml:space="preserve">Vision / Bold Claim Post</t>
  </si>
  <si>
    <t xml:space="preserve">The AI-driven automation plan accelerated to 2026. Here's what operating autonomously without borders actually means.</t>
  </si>
  <si>
    <t xml:space="preserve">Macro vision post. Reference the acceleration: original targets were 2030/2035. Now: 2026. Six-month incremental planning replaces long-term roadmaps. The milestone: operating autonomously without borders, becoming an autonomous engine for economic growth. AI Memory Brain is the infrastructure that makes this possible — persistent organizational memory that runs continuously, learns continuously, and executes continuously via OpenClaw. This isn't futurism. It's being built now.</t>
  </si>
  <si>
    <t xml:space="preserve">None — vision text post</t>
  </si>
  <si>
    <t xml:space="preserve">Faruq conversation: acceleration of AI-driven automation plan</t>
  </si>
  <si>
    <t xml:space="preserve">Follow to watch this get built in real time</t>
  </si>
  <si>
    <t xml:space="preserve">Big vision post. Drives follows. Positions as category creator.</t>
  </si>
  <si>
    <t xml:space="preserve">May 28, 2026</t>
  </si>
  <si>
    <t xml:space="preserve">Product</t>
  </si>
  <si>
    <t xml:space="preserve">Product Announcement Post</t>
  </si>
  <si>
    <t xml:space="preserve">The browser extension that makes AI memory accessible to every small and medium business. No engineering team required.</t>
  </si>
  <si>
    <t xml:space="preserve">Announce the browser extension concept (from Faruq conversation). Problem: most people use in-browser AI clients (Claude.ai, ChatGPT web) which can't access local files — blocking AI memory implementation for 95% of SMBs. Solution: a browser extension that bridges the browser and the user's local drive, granting the AI access to their AI Memory Brain folder. Result: SMB operators with zero engineering resources can deploy persistent AI memory in under an hour.</t>
  </si>
  <si>
    <t xml:space="preserve">Product concept mockup / wireframe</t>
  </si>
  <si>
    <t xml:space="preserve">Faruq conversation: browser extension discussion; ICP: SMB angle</t>
  </si>
  <si>
    <t xml:space="preserve">Join the waitlist for early access — link in comments</t>
  </si>
  <si>
    <t xml:space="preserve">Product angle post. High organic reach potential.</t>
  </si>
  <si>
    <t xml:space="preserve">May 29, 2026</t>
  </si>
  <si>
    <t xml:space="preserve">Authority Post</t>
  </si>
  <si>
    <t xml:space="preserve">I've talked to 50+ AI builders, operators, and executives this year. Here's what every one of them gets wrong about AI memory.</t>
  </si>
  <si>
    <t xml:space="preserve">Authority-building wrap-up post. Common misconception 1: AI memory is about storing conversation history (it's about storing structured organizational knowledge). Misconception 2: RAG solves the memory problem (it solves retrieval, not context governance). Misconception 3: you need a developer to implement AI memory (file-based architecture doesn't require engineering). Misconception 4: bigger context windows solve the problem (they delay it — the real issue is organization, not size). End: what you should actually be optimizing for.</t>
  </si>
  <si>
    <t xml:space="preserve">None — authority text post</t>
  </si>
  <si>
    <t xml:space="preserve">Competitive analysis; ICP analysis; white paper §2</t>
  </si>
  <si>
    <t xml:space="preserve">Save this if you're evaluating AI memory solutions this quarter</t>
  </si>
  <si>
    <t xml:space="preserve">Classic misconceptions post format — massive save/share rates.</t>
  </si>
  <si>
    <t xml:space="preserve">AI Memory Brain — Content Pillars &amp; Messaging Framework</t>
  </si>
  <si>
    <t xml:space="preserve">Pillar</t>
  </si>
  <si>
    <t xml:space="preserve">Colour Code</t>
  </si>
  <si>
    <t xml:space="preserve">Core Message</t>
  </si>
  <si>
    <t xml:space="preserve">Best For (ICP)</t>
  </si>
  <si>
    <t xml:space="preserve">Key Hook Formula</t>
  </si>
  <si>
    <t xml:space="preserve">Primary Source Material</t>
  </si>
  <si>
    <t xml:space="preserve">Sample CTA</t>
  </si>
  <si>
    <t xml:space="preserve">#FFE5B4</t>
  </si>
  <si>
    <t xml:space="preserve">Every AI session starts with total amnesia. The cost of stateless AI compounds with every session.</t>
  </si>
  <si>
    <t xml:space="preserve">[Quantified pain] → [Frequency] → [Compounding cost]</t>
  </si>
  <si>
    <t xml:space="preserve">White Paper §1: The Hidden Flaw; §1.2 Compounding Cost</t>
  </si>
  <si>
    <t xml:space="preserve">Calculate your context recovery cost</t>
  </si>
  <si>
    <t xml:space="preserve">#B4D4FF</t>
  </si>
  <si>
    <t xml:space="preserve">3-tier lazy loading + session lifecycle + departmental organization = AI that gets smarter every session.</t>
  </si>
  <si>
    <t xml:space="preserve">AI Agent Builders, Enterprise CTOs</t>
  </si>
  <si>
    <t xml:space="preserve">[Technical innovation] → [Why it beats X] → [Production proof]</t>
  </si>
  <si>
    <t xml:space="preserve">White Paper §3: Architecture; §4: Session Lifecycle; §5: Departmental Org</t>
  </si>
  <si>
    <t xml:space="preserve">Book a technical architecture walkthrough</t>
  </si>
  <si>
    <t xml:space="preserve">#B4FFB4</t>
  </si>
  <si>
    <t xml:space="preserve">77 user stories. 22 sessions. 30+ decision files. 0 open risks. Not a demo — production.</t>
  </si>
  <si>
    <t xml:space="preserve">Enterprise CTOs, Operations Leaders</t>
  </si>
  <si>
    <t xml:space="preserve">[Specific metric] → [What it represents] → [Contrast: most solutions are still beta]</t>
  </si>
  <si>
    <t xml:space="preserve">White Paper §7: 3 Live Deployments (Sovrynty, Total Reqall, Eve-oc)</t>
  </si>
  <si>
    <t xml:space="preserve">Ask about deploying this for your team</t>
  </si>
  <si>
    <t xml:space="preserve">#FFB4B4</t>
  </si>
  <si>
    <t xml:space="preserve">AI Memory Brain is the only solution with pre-built domain expertise across 20 departments. Everyone else makes you build from scratch.</t>
  </si>
  <si>
    <t xml:space="preserve">Enterprise CTOs, AI Agent Builders</t>
  </si>
  <si>
    <t xml:space="preserve">[Name the alternative] → [Honest comparison] → [Where AMB uniquely wins]</t>
  </si>
  <si>
    <t xml:space="preserve">Competitive Analysis: 14 competitors; ICP §8-9</t>
  </si>
  <si>
    <t xml:space="preserve">I'll give you a real comparison — no sales pitch</t>
  </si>
  <si>
    <t xml:space="preserve">#E8B4FF</t>
  </si>
  <si>
    <t xml:space="preserve">The future of AI is organizational memory, not personal memory. The companies that build this first win.</t>
  </si>
  <si>
    <t xml:space="preserve">[Contrarian insight] → [Why the crowd is wrong] → [What you should actually do]</t>
  </si>
  <si>
    <t xml:space="preserve">Faruq Hunter conversation; White Paper §10: Conclusion</t>
  </si>
  <si>
    <t xml:space="preserve">#FFE0B4</t>
  </si>
  <si>
    <t xml:space="preserve">150 MB. Portable. Works with any LLM. No engineering team required. This is what AI memory should be.</t>
  </si>
  <si>
    <t xml:space="preserve">B2B Lead Gen, Operations Leaders, Community Builders</t>
  </si>
  <si>
    <t xml:space="preserve">[Simple, tangible feature] → [Who it unlocks access for] → [Vs. complex alternatives]</t>
  </si>
  <si>
    <t xml:space="preserve">Faruq conversation: low memory footprint, browser extension, non-technical deployment</t>
  </si>
  <si>
    <t xml:space="preserve">Join the early access waitlist</t>
  </si>
  <si>
    <t xml:space="preserve">#B4FFEE</t>
  </si>
  <si>
    <t xml:space="preserve">Segment-specific content that speaks directly to each ICP's exact pain, using their exact language.</t>
  </si>
  <si>
    <t xml:space="preserve">Rotates by segment (see calendar)</t>
  </si>
  <si>
    <t xml:space="preserve">[Direct address to role] → [Name their specific pain] → [Show the specific fix]</t>
  </si>
  <si>
    <t xml:space="preserve">ICP Analysis §3-7: all five segments; §11 messaging strategy</t>
  </si>
  <si>
    <t xml:space="preserve">DM me [SEGMENT-SPECIFIC KEYWORD] to get started</t>
  </si>
  <si>
    <t xml:space="preserve">AI Memory Brain — ICP Segment Quick Reference</t>
  </si>
  <si>
    <t xml:space="preserve">Priority Tier</t>
  </si>
  <si>
    <t xml:space="preserve">Title Patterns</t>
  </si>
  <si>
    <t xml:space="preserve">Core Pain (AI Memory)</t>
  </si>
  <si>
    <t xml:space="preserve">Value Prop Hook</t>
  </si>
  <si>
    <t xml:space="preserve">Best Post Format</t>
  </si>
  <si>
    <t xml:space="preserve">LinkedIn CTA Keyword</t>
  </si>
  <si>
    <t xml:space="preserve">LTV Range</t>
  </si>
  <si>
    <t xml:space="preserve">TIER 1
(Month 1-3)</t>
  </si>
  <si>
    <t xml:space="preserve">AI Agent Dev, Automation Consultant, AI Solutions Architect, AI Agency Founder</t>
  </si>
  <si>
    <t xml:space="preserve">Stateless agents in production. Client-specific context, learned preferences, accumulated knowledge — all lost every session. Multi-session complexity kills production reliability.</t>
  </si>
  <si>
    <t xml:space="preserve">Stop building memory from scratch for every client. Deploy a 3-tier architecture running 51 agents in production today.</t>
  </si>
  <si>
    <t xml:space="preserve">Technical deep-dive, System diagrams, Before/After case studies</t>
  </si>
  <si>
    <t xml:space="preserve">MEMORY AUDIT</t>
  </si>
  <si>
    <t xml:space="preserve">$15K–$50K</t>
  </si>
  <si>
    <t xml:space="preserve">B2B Lead Gen Specialist, Cold Email Expert, AI Outreach Consultant, Growth Agency Founder</t>
  </si>
  <si>
    <t xml:space="preserve">Running 50+ client campaigns and AI treats every email like it's the first one. Zero memory of ICP, winning copy angles, reply patterns, or objection handling across sessions.</t>
  </si>
  <si>
    <t xml:space="preserve">Each campaign gets its own persistent memory — ICP definitions, winning copy, reply patterns — so your AI gets smarter with every send.</t>
  </si>
  <si>
    <t xml:space="preserve">ROI calculators, Campaign performance comparisons, Framework posts</t>
  </si>
  <si>
    <t xml:space="preserve">CAMPAIGN AUDIT</t>
  </si>
  <si>
    <t xml:space="preserve">$25K–$50K</t>
  </si>
  <si>
    <t xml:space="preserve">VP Revenue Operations, Director of Operations, Head of GTM, RevOps Manager, CRO</t>
  </si>
  <si>
    <t xml:space="preserve">Institutional knowledge in people's heads. AI analyzes data without remembering why deals were won/lost, seasonal patterns, or which processes are current vs. outdated.</t>
  </si>
  <si>
    <t xml:space="preserve">51 domain agents across Sales, Marketing, Finance, Operations, Legal — accumulating intelligence over time. Your AI doesn't just process data. It remembers context.</t>
  </si>
  <si>
    <t xml:space="preserve">Operational frameworks, Governance posts, Enterprise ROI models</t>
  </si>
  <si>
    <t xml:space="preserve">OPS ASSESSMENT</t>
  </si>
  <si>
    <t xml:space="preserve">$50K–$100K+</t>
  </si>
  <si>
    <t xml:space="preserve">TIER 2
(Month 3-6)</t>
  </si>
  <si>
    <t xml:space="preserve">CTO, VP Engineering, Head of AI/ML, Chief AI Officer, Director of Platform Engineering</t>
  </si>
  <si>
    <t xml:space="preserve">Evaluating 10 memory solutions with no clear winner. Vendor lock-in risk. Compliance/audit needs. Multi-department deployment complexity. Production readiness uncertainty.</t>
  </si>
  <si>
    <t xml:space="preserve">You're evaluating Mem0, Zep, and Letta. Here's what none of them solve: organizational memory across 20 departments with a git-backed audit trail and zero vendor lock-in.</t>
  </si>
  <si>
    <t xml:space="preserve">Comparison tables, Technical architecture posts, Whitepapers</t>
  </si>
  <si>
    <t xml:space="preserve">ARCHITECTURE BRIEF</t>
  </si>
  <si>
    <t xml:space="preserve">$100K+</t>
  </si>
  <si>
    <t xml:space="preserve">Community Builders</t>
  </si>
  <si>
    <t xml:space="preserve">AI Educator, AI Advocate, Community Builder, Newsletter Creator</t>
  </si>
  <si>
    <t xml:space="preserve">Content fatigue from re-researching the same topics. No AI memory of prior community interactions, subscriber segments, or what content resonated with which audience.</t>
  </si>
  <si>
    <t xml:space="preserve">Your newsletter AI forgets your audience every session. AI Memory Brain gives your content operation persistent memory of brand voice, audience data, and content history.</t>
  </si>
  <si>
    <t xml:space="preserve">Behind-the-scenes, Community case studies, Co-created content</t>
  </si>
  <si>
    <t xml:space="preserve">CONTENT COLLAB</t>
  </si>
  <si>
    <t xml:space="preserve">$5K–$15K + awareness</t>
  </si>
  <si>
    <t xml:space="preserve">Content Calendar Summary</t>
  </si>
  <si>
    <t xml:space="preserve">METRIC</t>
  </si>
  <si>
    <t xml:space="preserve">VALUE</t>
  </si>
  <si>
    <t xml:space="preserve">Total Posts Planned</t>
  </si>
  <si>
    <t xml:space="preserve">36</t>
  </si>
  <si>
    <t xml:space="preserve">Weeks Covered</t>
  </si>
  <si>
    <t xml:space="preserve">8 (Apr 7 – May 30, 2026)</t>
  </si>
  <si>
    <t xml:space="preserve">Avg Posts per Week</t>
  </si>
  <si>
    <t xml:space="preserve">~4.5</t>
  </si>
  <si>
    <t xml:space="preserve">Platform</t>
  </si>
  <si>
    <t xml:space="preserve">LinkedIn (primary)</t>
  </si>
  <si>
    <t xml:space="preserve">BY ICP SEGMENT</t>
  </si>
  <si>
    <t xml:space="preserve"># Posts</t>
  </si>
  <si>
    <t xml:space="preserve">% of Total</t>
  </si>
  <si>
    <t xml:space="preserve">BY CONTENT PILLAR</t>
  </si>
  <si>
    <t xml:space="preserve">BY POST FORMAT</t>
  </si>
</sst>
</file>

<file path=xl/styles.xml><?xml version="1.0" encoding="utf-8"?>
<styleSheet xmlns="http://schemas.openxmlformats.org/spreadsheetml/2006/main">
  <numFmts count="2">
    <numFmt numFmtId="164" formatCode="General"/>
    <numFmt numFmtId="165" formatCode="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color rgb="FFFFFFFF"/>
      <name val="Arial"/>
      <family val="0"/>
      <charset val="1"/>
    </font>
    <font>
      <b val="true"/>
      <sz val="9"/>
      <color rgb="FFE0E0E0"/>
      <name val="Arial"/>
      <family val="0"/>
      <charset val="1"/>
    </font>
    <font>
      <sz val="9"/>
      <color rgb="FF000000"/>
      <name val="Arial"/>
      <family val="0"/>
      <charset val="1"/>
    </font>
    <font>
      <b val="true"/>
      <sz val="9"/>
      <color rgb="FF856404"/>
      <name val="Arial"/>
      <family val="0"/>
      <charset val="1"/>
    </font>
    <font>
      <b val="true"/>
      <sz val="13"/>
      <color rgb="FFFFFFFF"/>
      <name val="Arial"/>
      <family val="0"/>
      <charset val="1"/>
    </font>
    <font>
      <sz val="9"/>
      <color rgb="FF555555"/>
      <name val="Arial"/>
      <family val="0"/>
      <charset val="1"/>
    </font>
    <font>
      <b val="true"/>
      <sz val="9"/>
      <color rgb="FF000000"/>
      <name val="Arial"/>
      <family val="0"/>
      <charset val="1"/>
    </font>
  </fonts>
  <fills count="21">
    <fill>
      <patternFill patternType="none"/>
    </fill>
    <fill>
      <patternFill patternType="gray125"/>
    </fill>
    <fill>
      <patternFill patternType="solid">
        <fgColor rgb="FF1A1A2E"/>
        <bgColor rgb="FF16213E"/>
      </patternFill>
    </fill>
    <fill>
      <patternFill patternType="solid">
        <fgColor rgb="FF16213E"/>
        <bgColor rgb="FF1A1A2E"/>
      </patternFill>
    </fill>
    <fill>
      <patternFill patternType="solid">
        <fgColor rgb="FFF0F4FF"/>
        <bgColor rgb="FFF5F5F5"/>
      </patternFill>
    </fill>
    <fill>
      <patternFill patternType="solid">
        <fgColor rgb="FFFFE5B4"/>
        <bgColor rgb="FFFFE0B4"/>
      </patternFill>
    </fill>
    <fill>
      <patternFill patternType="solid">
        <fgColor rgb="FFE9ECEF"/>
        <bgColor rgb="FFF0F4FF"/>
      </patternFill>
    </fill>
    <fill>
      <patternFill patternType="solid">
        <fgColor rgb="FFFFF3CD"/>
        <bgColor rgb="FFFFE5B4"/>
      </patternFill>
    </fill>
    <fill>
      <patternFill patternType="solid">
        <fgColor rgb="FFFFFFFF"/>
        <bgColor rgb="FFF5F5F5"/>
      </patternFill>
    </fill>
    <fill>
      <patternFill patternType="solid">
        <fgColor rgb="FFD1ECF1"/>
        <bgColor rgb="FFD4EDDA"/>
      </patternFill>
    </fill>
    <fill>
      <patternFill patternType="solid">
        <fgColor rgb="FFD4EDDA"/>
        <bgColor rgb="FFD1ECF1"/>
      </patternFill>
    </fill>
    <fill>
      <patternFill patternType="solid">
        <fgColor rgb="FFB4D4FF"/>
        <bgColor rgb="FFCCCCCC"/>
      </patternFill>
    </fill>
    <fill>
      <patternFill patternType="solid">
        <fgColor rgb="FFF8D7DA"/>
        <bgColor rgb="FFE2D9F3"/>
      </patternFill>
    </fill>
    <fill>
      <patternFill patternType="solid">
        <fgColor rgb="FFFFB4B4"/>
        <bgColor rgb="FFE8B4FF"/>
      </patternFill>
    </fill>
    <fill>
      <patternFill patternType="solid">
        <fgColor rgb="FFB4FFB4"/>
        <bgColor rgb="FFB4FFEE"/>
      </patternFill>
    </fill>
    <fill>
      <patternFill patternType="solid">
        <fgColor rgb="FFB4FFEE"/>
        <bgColor rgb="FFB4FFB4"/>
      </patternFill>
    </fill>
    <fill>
      <patternFill patternType="solid">
        <fgColor rgb="FFE8B4FF"/>
        <bgColor rgb="FFFFB4B4"/>
      </patternFill>
    </fill>
    <fill>
      <patternFill patternType="solid">
        <fgColor rgb="FFFFE0B4"/>
        <bgColor rgb="FFFFE5B4"/>
      </patternFill>
    </fill>
    <fill>
      <patternFill patternType="solid">
        <fgColor rgb="FFE2D9F3"/>
        <bgColor rgb="FFE0E0E0"/>
      </patternFill>
    </fill>
    <fill>
      <patternFill patternType="solid">
        <fgColor rgb="FFF5F5F5"/>
        <bgColor rgb="FFF0F4FF"/>
      </patternFill>
    </fill>
    <fill>
      <patternFill patternType="solid">
        <fgColor rgb="FF2C3E50"/>
        <bgColor rgb="FF33339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left" vertical="top" textRotation="0" wrapText="true" indent="0" shrinkToFit="false"/>
      <protection locked="true" hidden="false"/>
    </xf>
    <xf numFmtId="164" fontId="7" fillId="16" borderId="1" xfId="0" applyFont="true" applyBorder="true" applyAlignment="true" applyProtection="false">
      <alignment horizontal="left" vertical="top" textRotation="0" wrapText="true" indent="0" shrinkToFit="false"/>
      <protection locked="true" hidden="false"/>
    </xf>
    <xf numFmtId="164" fontId="7" fillId="17" borderId="1" xfId="0" applyFont="true" applyBorder="true" applyAlignment="true" applyProtection="false">
      <alignment horizontal="left" vertical="top" textRotation="0" wrapText="tru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10" fillId="11" borderId="1" xfId="0" applyFont="true" applyBorder="true" applyAlignment="true" applyProtection="false">
      <alignment horizontal="left" vertical="top" textRotation="0" wrapText="true" indent="0" shrinkToFit="false"/>
      <protection locked="true" hidden="false"/>
    </xf>
    <xf numFmtId="164" fontId="10" fillId="14" borderId="1" xfId="0" applyFont="true" applyBorder="true" applyAlignment="true" applyProtection="false">
      <alignment horizontal="left" vertical="top" textRotation="0" wrapText="true" indent="0" shrinkToFit="false"/>
      <protection locked="true" hidden="false"/>
    </xf>
    <xf numFmtId="164" fontId="10" fillId="13" borderId="1" xfId="0" applyFont="true" applyBorder="true" applyAlignment="true" applyProtection="false">
      <alignment horizontal="left" vertical="top" textRotation="0" wrapText="true" indent="0" shrinkToFit="false"/>
      <protection locked="true" hidden="false"/>
    </xf>
    <xf numFmtId="164" fontId="10" fillId="16" borderId="1" xfId="0" applyFont="true" applyBorder="true" applyAlignment="true" applyProtection="false">
      <alignment horizontal="left" vertical="top" textRotation="0" wrapText="true" indent="0" shrinkToFit="false"/>
      <protection locked="true" hidden="false"/>
    </xf>
    <xf numFmtId="164" fontId="10" fillId="17" borderId="1" xfId="0" applyFont="true" applyBorder="true" applyAlignment="true" applyProtection="false">
      <alignment horizontal="left" vertical="top" textRotation="0" wrapText="true" indent="0" shrinkToFit="false"/>
      <protection locked="true" hidden="false"/>
    </xf>
    <xf numFmtId="164" fontId="10" fillId="15"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1" fillId="14" borderId="1" xfId="0" applyFont="true" applyBorder="true" applyAlignment="true" applyProtection="false">
      <alignment horizontal="left" vertical="top" textRotation="0" wrapText="true" indent="0" shrinkToFit="false"/>
      <protection locked="true" hidden="false"/>
    </xf>
    <xf numFmtId="164" fontId="5" fillId="2"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11" fillId="12" borderId="1" xfId="0" applyFont="true" applyBorder="true" applyAlignment="true" applyProtection="false">
      <alignment horizontal="left" vertical="top" textRotation="0" wrapText="true" indent="0" shrinkToFit="false"/>
      <protection locked="true" hidden="false"/>
    </xf>
    <xf numFmtId="164" fontId="11" fillId="18" borderId="1" xfId="0" applyFont="true" applyBorder="true" applyAlignment="true" applyProtection="false">
      <alignment horizontal="left" vertical="top" textRotation="0" wrapText="true" indent="0" shrinkToFit="false"/>
      <protection locked="true" hidden="false"/>
    </xf>
    <xf numFmtId="164" fontId="0" fillId="19" borderId="1" xfId="0" applyFont="false" applyBorder="true" applyAlignment="true" applyProtection="false">
      <alignment horizontal="left" vertical="center" textRotation="0" wrapText="false" indent="0" shrinkToFit="false"/>
      <protection locked="true" hidden="false"/>
    </xf>
    <xf numFmtId="164" fontId="0" fillId="19" borderId="1" xfId="0" applyFont="false" applyBorder="true" applyAlignment="true" applyProtection="false">
      <alignment horizontal="center" vertical="center" textRotation="0" wrapText="false" indent="0" shrinkToFit="false"/>
      <protection locked="true" hidden="false"/>
    </xf>
    <xf numFmtId="164" fontId="5" fillId="20" borderId="1" xfId="0" applyFont="true" applyBorder="true" applyAlignment="true" applyProtection="false">
      <alignment horizontal="left" vertical="center" textRotation="0" wrapText="false" indent="0" shrinkToFit="false"/>
      <protection locked="true" hidden="false"/>
    </xf>
    <xf numFmtId="164" fontId="5" fillId="20"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5" fontId="7" fillId="8"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B4FFB4"/>
      <rgbColor rgb="FFFF00FF"/>
      <rgbColor rgb="FF00FFFF"/>
      <rgbColor rgb="FF800000"/>
      <rgbColor rgb="FF008000"/>
      <rgbColor rgb="FF000080"/>
      <rgbColor rgb="FF856404"/>
      <rgbColor rgb="FF800080"/>
      <rgbColor rgb="FF008080"/>
      <rgbColor rgb="FFCCCCCC"/>
      <rgbColor rgb="FF808080"/>
      <rgbColor rgb="FFE0E0E0"/>
      <rgbColor rgb="FF993366"/>
      <rgbColor rgb="FFFFF3CD"/>
      <rgbColor rgb="FFB4FFEE"/>
      <rgbColor rgb="FF660066"/>
      <rgbColor rgb="FFF5F5F5"/>
      <rgbColor rgb="FF0066CC"/>
      <rgbColor rgb="FFB4D4FF"/>
      <rgbColor rgb="FF000080"/>
      <rgbColor rgb="FFFF00FF"/>
      <rgbColor rgb="FFE9ECEF"/>
      <rgbColor rgb="FF00FFFF"/>
      <rgbColor rgb="FF800080"/>
      <rgbColor rgb="FF800000"/>
      <rgbColor rgb="FF008080"/>
      <rgbColor rgb="FF0000FF"/>
      <rgbColor rgb="FF00CCFF"/>
      <rgbColor rgb="FFD1ECF1"/>
      <rgbColor rgb="FFD4EDDA"/>
      <rgbColor rgb="FFFFE5B4"/>
      <rgbColor rgb="FFE2D9F3"/>
      <rgbColor rgb="FFFFB4B4"/>
      <rgbColor rgb="FFE8B4FF"/>
      <rgbColor rgb="FFFFE0B4"/>
      <rgbColor rgb="FF3366FF"/>
      <rgbColor rgb="FF33CCCC"/>
      <rgbColor rgb="FF99CC00"/>
      <rgbColor rgb="FFF8D7DA"/>
      <rgbColor rgb="FFFF9900"/>
      <rgbColor rgb="FFFF6600"/>
      <rgbColor rgb="FF555555"/>
      <rgbColor rgb="FFF0F4FF"/>
      <rgbColor rgb="FF16213E"/>
      <rgbColor rgb="FF339966"/>
      <rgbColor rgb="FF003300"/>
      <rgbColor rgb="FF1A1A2E"/>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5"/>
    <col collapsed="false" customWidth="true" hidden="false" outlineLevel="0" max="4" min="4" style="0" width="22"/>
    <col collapsed="false" customWidth="true" hidden="false" outlineLevel="0" max="5" min="5" style="0" width="18"/>
    <col collapsed="false" customWidth="true" hidden="false" outlineLevel="0" max="6" min="6" style="0" width="22"/>
    <col collapsed="false" customWidth="true" hidden="false" outlineLevel="0" max="7" min="7" style="0" width="16"/>
    <col collapsed="false" customWidth="true" hidden="false" outlineLevel="0" max="8" min="8" style="0" width="48"/>
    <col collapsed="false" customWidth="true" hidden="false" outlineLevel="0" max="9" min="9" style="0" width="58"/>
    <col collapsed="false" customWidth="true" hidden="false" outlineLevel="0" max="10" min="10" style="0" width="30"/>
    <col collapsed="false" customWidth="true" hidden="false" outlineLevel="0" max="12" min="11" style="0" width="28"/>
    <col collapsed="false" customWidth="true" hidden="false" outlineLevel="0" max="13" min="13" style="0" width="12"/>
    <col collapsed="false" customWidth="true" hidden="false" outlineLevel="0" max="14" min="14" style="0" width="30"/>
  </cols>
  <sheetData>
    <row r="1" customFormat="false" ht="30" hidden="false" customHeight="true" outlineLevel="0" collapsed="false">
      <c r="A1" s="1" t="s">
        <v>0</v>
      </c>
      <c r="B1" s="1"/>
      <c r="C1" s="1"/>
      <c r="D1" s="1"/>
      <c r="E1" s="1"/>
      <c r="F1" s="1"/>
      <c r="G1" s="1"/>
      <c r="H1" s="1"/>
      <c r="I1" s="1"/>
      <c r="J1" s="1"/>
      <c r="K1" s="1"/>
      <c r="L1" s="1"/>
      <c r="M1" s="1"/>
      <c r="N1" s="1"/>
    </row>
    <row r="2" customFormat="false" ht="31.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row>
    <row r="3" customFormat="false" ht="19.5" hidden="false" customHeight="true" outlineLevel="0" collapsed="false">
      <c r="A3" s="3" t="s">
        <v>15</v>
      </c>
      <c r="B3" s="3"/>
      <c r="C3" s="3"/>
      <c r="D3" s="3"/>
      <c r="E3" s="3"/>
      <c r="F3" s="3"/>
      <c r="G3" s="3"/>
      <c r="H3" s="3"/>
      <c r="I3" s="3"/>
      <c r="J3" s="3"/>
      <c r="K3" s="3"/>
      <c r="L3" s="3"/>
      <c r="M3" s="3"/>
      <c r="N3" s="3"/>
    </row>
    <row r="4" customFormat="false" ht="60" hidden="false" customHeight="true" outlineLevel="0" collapsed="false">
      <c r="A4" s="4" t="s">
        <v>16</v>
      </c>
      <c r="B4" s="4" t="s">
        <v>17</v>
      </c>
      <c r="C4" s="4" t="n">
        <v>1</v>
      </c>
      <c r="D4" s="4" t="s">
        <v>18</v>
      </c>
      <c r="E4" s="5" t="s">
        <v>19</v>
      </c>
      <c r="F4" s="6" t="s">
        <v>20</v>
      </c>
      <c r="G4" s="4" t="s">
        <v>21</v>
      </c>
      <c r="H4" s="4" t="s">
        <v>22</v>
      </c>
      <c r="I4" s="4" t="s">
        <v>23</v>
      </c>
      <c r="J4" s="4" t="s">
        <v>24</v>
      </c>
      <c r="K4" s="4" t="s">
        <v>25</v>
      </c>
      <c r="L4" s="4" t="s">
        <v>26</v>
      </c>
      <c r="M4" s="7" t="s">
        <v>27</v>
      </c>
      <c r="N4" s="4" t="s">
        <v>28</v>
      </c>
    </row>
    <row r="5" customFormat="false" ht="60" hidden="false" customHeight="true" outlineLevel="0" collapsed="false">
      <c r="A5" s="8" t="s">
        <v>29</v>
      </c>
      <c r="B5" s="8" t="s">
        <v>30</v>
      </c>
      <c r="C5" s="8" t="n">
        <v>1</v>
      </c>
      <c r="D5" s="8" t="s">
        <v>18</v>
      </c>
      <c r="E5" s="5" t="s">
        <v>19</v>
      </c>
      <c r="F5" s="9" t="s">
        <v>31</v>
      </c>
      <c r="G5" s="8" t="s">
        <v>32</v>
      </c>
      <c r="H5" s="8" t="s">
        <v>33</v>
      </c>
      <c r="I5" s="8" t="s">
        <v>34</v>
      </c>
      <c r="J5" s="8" t="s">
        <v>35</v>
      </c>
      <c r="K5" s="8" t="s">
        <v>36</v>
      </c>
      <c r="L5" s="8" t="s">
        <v>37</v>
      </c>
      <c r="M5" s="7" t="s">
        <v>27</v>
      </c>
      <c r="N5" s="8" t="s">
        <v>38</v>
      </c>
    </row>
    <row r="6" customFormat="false" ht="60" hidden="false" customHeight="true" outlineLevel="0" collapsed="false">
      <c r="A6" s="4" t="s">
        <v>39</v>
      </c>
      <c r="B6" s="4" t="s">
        <v>40</v>
      </c>
      <c r="C6" s="4" t="n">
        <v>1</v>
      </c>
      <c r="D6" s="4" t="s">
        <v>18</v>
      </c>
      <c r="E6" s="5" t="s">
        <v>19</v>
      </c>
      <c r="F6" s="10" t="s">
        <v>41</v>
      </c>
      <c r="G6" s="4" t="s">
        <v>42</v>
      </c>
      <c r="H6" s="4" t="s">
        <v>43</v>
      </c>
      <c r="I6" s="4" t="s">
        <v>44</v>
      </c>
      <c r="J6" s="4" t="s">
        <v>45</v>
      </c>
      <c r="K6" s="4" t="s">
        <v>46</v>
      </c>
      <c r="L6" s="4" t="s">
        <v>47</v>
      </c>
      <c r="M6" s="7" t="s">
        <v>27</v>
      </c>
      <c r="N6" s="4" t="s">
        <v>48</v>
      </c>
    </row>
    <row r="7" customFormat="false" ht="60" hidden="false" customHeight="true" outlineLevel="0" collapsed="false">
      <c r="A7" s="8" t="s">
        <v>49</v>
      </c>
      <c r="B7" s="8" t="s">
        <v>50</v>
      </c>
      <c r="C7" s="8" t="n">
        <v>1</v>
      </c>
      <c r="D7" s="8" t="s">
        <v>18</v>
      </c>
      <c r="E7" s="5" t="s">
        <v>19</v>
      </c>
      <c r="F7" s="11" t="s">
        <v>51</v>
      </c>
      <c r="G7" s="8" t="s">
        <v>52</v>
      </c>
      <c r="H7" s="8" t="s">
        <v>53</v>
      </c>
      <c r="I7" s="8" t="s">
        <v>54</v>
      </c>
      <c r="J7" s="8" t="s">
        <v>55</v>
      </c>
      <c r="K7" s="8" t="s">
        <v>56</v>
      </c>
      <c r="L7" s="8" t="s">
        <v>57</v>
      </c>
      <c r="M7" s="7" t="s">
        <v>27</v>
      </c>
      <c r="N7" s="8" t="s">
        <v>58</v>
      </c>
    </row>
    <row r="8" customFormat="false" ht="60" hidden="false" customHeight="true" outlineLevel="0" collapsed="false">
      <c r="A8" s="4" t="s">
        <v>59</v>
      </c>
      <c r="B8" s="4" t="s">
        <v>60</v>
      </c>
      <c r="C8" s="4" t="n">
        <v>1</v>
      </c>
      <c r="D8" s="4" t="s">
        <v>18</v>
      </c>
      <c r="E8" s="5" t="s">
        <v>19</v>
      </c>
      <c r="F8" s="6" t="s">
        <v>20</v>
      </c>
      <c r="G8" s="4" t="s">
        <v>61</v>
      </c>
      <c r="H8" s="4" t="s">
        <v>62</v>
      </c>
      <c r="I8" s="4" t="s">
        <v>63</v>
      </c>
      <c r="J8" s="4" t="s">
        <v>64</v>
      </c>
      <c r="K8" s="4" t="s">
        <v>65</v>
      </c>
      <c r="L8" s="4" t="s">
        <v>66</v>
      </c>
      <c r="M8" s="7" t="s">
        <v>27</v>
      </c>
      <c r="N8" s="4" t="s">
        <v>67</v>
      </c>
    </row>
    <row r="9" customFormat="false" ht="19.5" hidden="false" customHeight="true" outlineLevel="0" collapsed="false">
      <c r="A9" s="3" t="s">
        <v>68</v>
      </c>
      <c r="B9" s="3"/>
      <c r="C9" s="3"/>
      <c r="D9" s="3"/>
      <c r="E9" s="3"/>
      <c r="F9" s="3"/>
      <c r="G9" s="3"/>
      <c r="H9" s="3"/>
      <c r="I9" s="3"/>
      <c r="J9" s="3"/>
      <c r="K9" s="3"/>
      <c r="L9" s="3"/>
      <c r="M9" s="3"/>
      <c r="N9" s="3"/>
    </row>
    <row r="10" customFormat="false" ht="60" hidden="false" customHeight="true" outlineLevel="0" collapsed="false">
      <c r="A10" s="4" t="s">
        <v>69</v>
      </c>
      <c r="B10" s="4" t="s">
        <v>17</v>
      </c>
      <c r="C10" s="4" t="n">
        <v>2</v>
      </c>
      <c r="D10" s="4" t="s">
        <v>70</v>
      </c>
      <c r="E10" s="12" t="s">
        <v>71</v>
      </c>
      <c r="F10" s="10" t="s">
        <v>41</v>
      </c>
      <c r="G10" s="4" t="s">
        <v>72</v>
      </c>
      <c r="H10" s="4" t="s">
        <v>73</v>
      </c>
      <c r="I10" s="4" t="s">
        <v>74</v>
      </c>
      <c r="J10" s="4" t="s">
        <v>75</v>
      </c>
      <c r="K10" s="4" t="s">
        <v>76</v>
      </c>
      <c r="L10" s="4" t="s">
        <v>77</v>
      </c>
      <c r="M10" s="7" t="s">
        <v>27</v>
      </c>
      <c r="N10" s="4" t="s">
        <v>78</v>
      </c>
    </row>
    <row r="11" customFormat="false" ht="60" hidden="false" customHeight="true" outlineLevel="0" collapsed="false">
      <c r="A11" s="8" t="s">
        <v>79</v>
      </c>
      <c r="B11" s="8" t="s">
        <v>30</v>
      </c>
      <c r="C11" s="8" t="n">
        <v>2</v>
      </c>
      <c r="D11" s="8" t="s">
        <v>70</v>
      </c>
      <c r="E11" s="12" t="s">
        <v>71</v>
      </c>
      <c r="F11" s="9" t="s">
        <v>31</v>
      </c>
      <c r="G11" s="8" t="s">
        <v>80</v>
      </c>
      <c r="H11" s="8" t="s">
        <v>81</v>
      </c>
      <c r="I11" s="8" t="s">
        <v>82</v>
      </c>
      <c r="J11" s="8" t="s">
        <v>83</v>
      </c>
      <c r="K11" s="8" t="s">
        <v>84</v>
      </c>
      <c r="L11" s="8" t="s">
        <v>85</v>
      </c>
      <c r="M11" s="7" t="s">
        <v>27</v>
      </c>
      <c r="N11" s="8" t="s">
        <v>86</v>
      </c>
    </row>
    <row r="12" customFormat="false" ht="60" hidden="false" customHeight="true" outlineLevel="0" collapsed="false">
      <c r="A12" s="4" t="s">
        <v>87</v>
      </c>
      <c r="B12" s="4" t="s">
        <v>40</v>
      </c>
      <c r="C12" s="4" t="n">
        <v>2</v>
      </c>
      <c r="D12" s="4" t="s">
        <v>70</v>
      </c>
      <c r="E12" s="12" t="s">
        <v>71</v>
      </c>
      <c r="F12" s="13" t="s">
        <v>88</v>
      </c>
      <c r="G12" s="4" t="s">
        <v>89</v>
      </c>
      <c r="H12" s="4" t="s">
        <v>90</v>
      </c>
      <c r="I12" s="4" t="s">
        <v>91</v>
      </c>
      <c r="J12" s="4" t="s">
        <v>92</v>
      </c>
      <c r="K12" s="4" t="s">
        <v>93</v>
      </c>
      <c r="L12" s="4" t="s">
        <v>94</v>
      </c>
      <c r="M12" s="7" t="s">
        <v>27</v>
      </c>
      <c r="N12" s="4" t="s">
        <v>95</v>
      </c>
    </row>
    <row r="13" customFormat="false" ht="60" hidden="false" customHeight="true" outlineLevel="0" collapsed="false">
      <c r="A13" s="8" t="s">
        <v>96</v>
      </c>
      <c r="B13" s="8" t="s">
        <v>50</v>
      </c>
      <c r="C13" s="8" t="n">
        <v>2</v>
      </c>
      <c r="D13" s="8" t="s">
        <v>70</v>
      </c>
      <c r="E13" s="12" t="s">
        <v>71</v>
      </c>
      <c r="F13" s="11" t="s">
        <v>51</v>
      </c>
      <c r="G13" s="8" t="s">
        <v>97</v>
      </c>
      <c r="H13" s="8" t="s">
        <v>98</v>
      </c>
      <c r="I13" s="8" t="s">
        <v>99</v>
      </c>
      <c r="J13" s="8" t="s">
        <v>100</v>
      </c>
      <c r="K13" s="8" t="s">
        <v>101</v>
      </c>
      <c r="L13" s="8" t="s">
        <v>102</v>
      </c>
      <c r="M13" s="7" t="s">
        <v>27</v>
      </c>
      <c r="N13" s="8" t="s">
        <v>103</v>
      </c>
    </row>
    <row r="14" customFormat="false" ht="60" hidden="false" customHeight="true" outlineLevel="0" collapsed="false">
      <c r="A14" s="4" t="s">
        <v>104</v>
      </c>
      <c r="B14" s="4" t="s">
        <v>60</v>
      </c>
      <c r="C14" s="4" t="n">
        <v>2</v>
      </c>
      <c r="D14" s="4" t="s">
        <v>70</v>
      </c>
      <c r="E14" s="12" t="s">
        <v>71</v>
      </c>
      <c r="F14" s="6" t="s">
        <v>20</v>
      </c>
      <c r="G14" s="4" t="s">
        <v>105</v>
      </c>
      <c r="H14" s="4" t="s">
        <v>106</v>
      </c>
      <c r="I14" s="4" t="s">
        <v>107</v>
      </c>
      <c r="J14" s="4" t="s">
        <v>108</v>
      </c>
      <c r="K14" s="4" t="s">
        <v>109</v>
      </c>
      <c r="L14" s="4" t="s">
        <v>110</v>
      </c>
      <c r="M14" s="7" t="s">
        <v>27</v>
      </c>
      <c r="N14" s="4" t="s">
        <v>111</v>
      </c>
    </row>
    <row r="15" customFormat="false" ht="19.5" hidden="false" customHeight="true" outlineLevel="0" collapsed="false">
      <c r="A15" s="3" t="s">
        <v>112</v>
      </c>
      <c r="B15" s="3"/>
      <c r="C15" s="3"/>
      <c r="D15" s="3"/>
      <c r="E15" s="3"/>
      <c r="F15" s="3"/>
      <c r="G15" s="3"/>
      <c r="H15" s="3"/>
      <c r="I15" s="3"/>
      <c r="J15" s="3"/>
      <c r="K15" s="3"/>
      <c r="L15" s="3"/>
      <c r="M15" s="3"/>
      <c r="N15" s="3"/>
    </row>
    <row r="16" customFormat="false" ht="60" hidden="false" customHeight="true" outlineLevel="0" collapsed="false">
      <c r="A16" s="4" t="s">
        <v>113</v>
      </c>
      <c r="B16" s="4" t="s">
        <v>17</v>
      </c>
      <c r="C16" s="4" t="n">
        <v>3</v>
      </c>
      <c r="D16" s="4" t="s">
        <v>114</v>
      </c>
      <c r="E16" s="14" t="s">
        <v>114</v>
      </c>
      <c r="F16" s="13" t="s">
        <v>88</v>
      </c>
      <c r="G16" s="4" t="s">
        <v>115</v>
      </c>
      <c r="H16" s="4" t="s">
        <v>116</v>
      </c>
      <c r="I16" s="4" t="s">
        <v>117</v>
      </c>
      <c r="J16" s="4" t="s">
        <v>118</v>
      </c>
      <c r="K16" s="4" t="s">
        <v>119</v>
      </c>
      <c r="L16" s="4" t="s">
        <v>120</v>
      </c>
      <c r="M16" s="7" t="s">
        <v>27</v>
      </c>
      <c r="N16" s="4" t="s">
        <v>121</v>
      </c>
    </row>
    <row r="17" customFormat="false" ht="60" hidden="false" customHeight="true" outlineLevel="0" collapsed="false">
      <c r="A17" s="8" t="s">
        <v>122</v>
      </c>
      <c r="B17" s="8" t="s">
        <v>30</v>
      </c>
      <c r="C17" s="8" t="n">
        <v>3</v>
      </c>
      <c r="D17" s="8" t="s">
        <v>114</v>
      </c>
      <c r="E17" s="14" t="s">
        <v>114</v>
      </c>
      <c r="F17" s="9" t="s">
        <v>31</v>
      </c>
      <c r="G17" s="8" t="s">
        <v>123</v>
      </c>
      <c r="H17" s="8" t="s">
        <v>124</v>
      </c>
      <c r="I17" s="8" t="s">
        <v>125</v>
      </c>
      <c r="J17" s="8" t="s">
        <v>126</v>
      </c>
      <c r="K17" s="8" t="s">
        <v>127</v>
      </c>
      <c r="L17" s="8" t="s">
        <v>128</v>
      </c>
      <c r="M17" s="7" t="s">
        <v>27</v>
      </c>
      <c r="N17" s="8" t="s">
        <v>129</v>
      </c>
    </row>
    <row r="18" customFormat="false" ht="60" hidden="false" customHeight="true" outlineLevel="0" collapsed="false">
      <c r="A18" s="4" t="s">
        <v>130</v>
      </c>
      <c r="B18" s="4" t="s">
        <v>40</v>
      </c>
      <c r="C18" s="4" t="n">
        <v>3</v>
      </c>
      <c r="D18" s="4" t="s">
        <v>114</v>
      </c>
      <c r="E18" s="14" t="s">
        <v>114</v>
      </c>
      <c r="F18" s="10" t="s">
        <v>41</v>
      </c>
      <c r="G18" s="4" t="s">
        <v>131</v>
      </c>
      <c r="H18" s="4" t="s">
        <v>132</v>
      </c>
      <c r="I18" s="4" t="s">
        <v>133</v>
      </c>
      <c r="J18" s="4" t="s">
        <v>134</v>
      </c>
      <c r="K18" s="4" t="s">
        <v>135</v>
      </c>
      <c r="L18" s="4" t="s">
        <v>136</v>
      </c>
      <c r="M18" s="7" t="s">
        <v>27</v>
      </c>
      <c r="N18" s="4" t="s">
        <v>137</v>
      </c>
    </row>
    <row r="19" customFormat="false" ht="60" hidden="false" customHeight="true" outlineLevel="0" collapsed="false">
      <c r="A19" s="8" t="s">
        <v>138</v>
      </c>
      <c r="B19" s="8" t="s">
        <v>50</v>
      </c>
      <c r="C19" s="8" t="n">
        <v>3</v>
      </c>
      <c r="D19" s="8" t="s">
        <v>114</v>
      </c>
      <c r="E19" s="14" t="s">
        <v>114</v>
      </c>
      <c r="F19" s="11" t="s">
        <v>51</v>
      </c>
      <c r="G19" s="8" t="s">
        <v>139</v>
      </c>
      <c r="H19" s="8" t="s">
        <v>140</v>
      </c>
      <c r="I19" s="8" t="s">
        <v>141</v>
      </c>
      <c r="J19" s="8" t="s">
        <v>142</v>
      </c>
      <c r="K19" s="8" t="s">
        <v>143</v>
      </c>
      <c r="L19" s="8" t="s">
        <v>144</v>
      </c>
      <c r="M19" s="7" t="s">
        <v>27</v>
      </c>
      <c r="N19" s="8" t="s">
        <v>145</v>
      </c>
    </row>
    <row r="20" customFormat="false" ht="60" hidden="false" customHeight="true" outlineLevel="0" collapsed="false">
      <c r="A20" s="4" t="s">
        <v>146</v>
      </c>
      <c r="B20" s="4" t="s">
        <v>60</v>
      </c>
      <c r="C20" s="4" t="n">
        <v>3</v>
      </c>
      <c r="D20" s="4" t="s">
        <v>114</v>
      </c>
      <c r="E20" s="14" t="s">
        <v>114</v>
      </c>
      <c r="F20" s="6" t="s">
        <v>20</v>
      </c>
      <c r="G20" s="4" t="s">
        <v>147</v>
      </c>
      <c r="H20" s="4" t="s">
        <v>148</v>
      </c>
      <c r="I20" s="4" t="s">
        <v>149</v>
      </c>
      <c r="J20" s="4" t="s">
        <v>150</v>
      </c>
      <c r="K20" s="4" t="s">
        <v>151</v>
      </c>
      <c r="L20" s="4" t="s">
        <v>152</v>
      </c>
      <c r="M20" s="7" t="s">
        <v>27</v>
      </c>
      <c r="N20" s="4" t="s">
        <v>153</v>
      </c>
    </row>
    <row r="21" customFormat="false" ht="19.5" hidden="false" customHeight="true" outlineLevel="0" collapsed="false">
      <c r="A21" s="3" t="s">
        <v>154</v>
      </c>
      <c r="B21" s="3"/>
      <c r="C21" s="3"/>
      <c r="D21" s="3"/>
      <c r="E21" s="3"/>
      <c r="F21" s="3"/>
      <c r="G21" s="3"/>
      <c r="H21" s="3"/>
      <c r="I21" s="3"/>
      <c r="J21" s="3"/>
      <c r="K21" s="3"/>
      <c r="L21" s="3"/>
      <c r="M21" s="3"/>
      <c r="N21" s="3"/>
    </row>
    <row r="22" customFormat="false" ht="60" hidden="false" customHeight="true" outlineLevel="0" collapsed="false">
      <c r="A22" s="4" t="s">
        <v>155</v>
      </c>
      <c r="B22" s="4" t="s">
        <v>17</v>
      </c>
      <c r="C22" s="4" t="n">
        <v>4</v>
      </c>
      <c r="D22" s="4" t="s">
        <v>156</v>
      </c>
      <c r="E22" s="15" t="s">
        <v>156</v>
      </c>
      <c r="F22" s="13" t="s">
        <v>88</v>
      </c>
      <c r="G22" s="4" t="s">
        <v>157</v>
      </c>
      <c r="H22" s="4" t="s">
        <v>158</v>
      </c>
      <c r="I22" s="4" t="s">
        <v>159</v>
      </c>
      <c r="J22" s="4" t="s">
        <v>160</v>
      </c>
      <c r="K22" s="4" t="s">
        <v>161</v>
      </c>
      <c r="L22" s="4" t="s">
        <v>162</v>
      </c>
      <c r="M22" s="7" t="s">
        <v>27</v>
      </c>
      <c r="N22" s="4" t="s">
        <v>163</v>
      </c>
    </row>
    <row r="23" customFormat="false" ht="60" hidden="false" customHeight="true" outlineLevel="0" collapsed="false">
      <c r="A23" s="8" t="s">
        <v>164</v>
      </c>
      <c r="B23" s="8" t="s">
        <v>30</v>
      </c>
      <c r="C23" s="8" t="n">
        <v>4</v>
      </c>
      <c r="D23" s="8" t="s">
        <v>156</v>
      </c>
      <c r="E23" s="15" t="s">
        <v>156</v>
      </c>
      <c r="F23" s="10" t="s">
        <v>41</v>
      </c>
      <c r="G23" s="8" t="s">
        <v>165</v>
      </c>
      <c r="H23" s="8" t="s">
        <v>166</v>
      </c>
      <c r="I23" s="8" t="s">
        <v>167</v>
      </c>
      <c r="J23" s="8" t="s">
        <v>168</v>
      </c>
      <c r="K23" s="8" t="s">
        <v>169</v>
      </c>
      <c r="L23" s="8" t="s">
        <v>170</v>
      </c>
      <c r="M23" s="7" t="s">
        <v>27</v>
      </c>
      <c r="N23" s="8" t="s">
        <v>171</v>
      </c>
    </row>
    <row r="24" customFormat="false" ht="60" hidden="false" customHeight="true" outlineLevel="0" collapsed="false">
      <c r="A24" s="4" t="s">
        <v>172</v>
      </c>
      <c r="B24" s="4" t="s">
        <v>40</v>
      </c>
      <c r="C24" s="4" t="n">
        <v>4</v>
      </c>
      <c r="D24" s="4" t="s">
        <v>156</v>
      </c>
      <c r="E24" s="15" t="s">
        <v>156</v>
      </c>
      <c r="F24" s="9" t="s">
        <v>31</v>
      </c>
      <c r="G24" s="4" t="s">
        <v>173</v>
      </c>
      <c r="H24" s="4" t="s">
        <v>174</v>
      </c>
      <c r="I24" s="4" t="s">
        <v>175</v>
      </c>
      <c r="J24" s="4" t="s">
        <v>176</v>
      </c>
      <c r="K24" s="4" t="s">
        <v>177</v>
      </c>
      <c r="L24" s="4" t="s">
        <v>178</v>
      </c>
      <c r="M24" s="7" t="s">
        <v>27</v>
      </c>
      <c r="N24" s="4" t="s">
        <v>179</v>
      </c>
    </row>
    <row r="25" customFormat="false" ht="60" hidden="false" customHeight="true" outlineLevel="0" collapsed="false">
      <c r="A25" s="8" t="s">
        <v>180</v>
      </c>
      <c r="B25" s="8" t="s">
        <v>60</v>
      </c>
      <c r="C25" s="8" t="n">
        <v>4</v>
      </c>
      <c r="D25" s="8" t="s">
        <v>156</v>
      </c>
      <c r="E25" s="15" t="s">
        <v>156</v>
      </c>
      <c r="F25" s="6" t="s">
        <v>20</v>
      </c>
      <c r="G25" s="8" t="s">
        <v>181</v>
      </c>
      <c r="H25" s="8" t="s">
        <v>182</v>
      </c>
      <c r="I25" s="8" t="s">
        <v>183</v>
      </c>
      <c r="J25" s="8" t="s">
        <v>184</v>
      </c>
      <c r="K25" s="8" t="s">
        <v>185</v>
      </c>
      <c r="L25" s="8" t="s">
        <v>186</v>
      </c>
      <c r="M25" s="7" t="s">
        <v>27</v>
      </c>
      <c r="N25" s="8" t="s">
        <v>187</v>
      </c>
    </row>
    <row r="26" customFormat="false" ht="19.5" hidden="false" customHeight="true" outlineLevel="0" collapsed="false">
      <c r="A26" s="3" t="s">
        <v>188</v>
      </c>
      <c r="B26" s="3"/>
      <c r="C26" s="3"/>
      <c r="D26" s="3"/>
      <c r="E26" s="3"/>
      <c r="F26" s="3"/>
      <c r="G26" s="3"/>
      <c r="H26" s="3"/>
      <c r="I26" s="3"/>
      <c r="J26" s="3"/>
      <c r="K26" s="3"/>
      <c r="L26" s="3"/>
      <c r="M26" s="3"/>
      <c r="N26" s="3"/>
    </row>
    <row r="27" customFormat="false" ht="60" hidden="false" customHeight="true" outlineLevel="0" collapsed="false">
      <c r="A27" s="8" t="s">
        <v>189</v>
      </c>
      <c r="B27" s="8" t="s">
        <v>30</v>
      </c>
      <c r="C27" s="8" t="n">
        <v>5</v>
      </c>
      <c r="D27" s="8" t="s">
        <v>190</v>
      </c>
      <c r="E27" s="16" t="s">
        <v>190</v>
      </c>
      <c r="F27" s="10" t="s">
        <v>41</v>
      </c>
      <c r="G27" s="8" t="s">
        <v>191</v>
      </c>
      <c r="H27" s="8" t="s">
        <v>192</v>
      </c>
      <c r="I27" s="8" t="s">
        <v>193</v>
      </c>
      <c r="J27" s="8" t="s">
        <v>194</v>
      </c>
      <c r="K27" s="8" t="s">
        <v>195</v>
      </c>
      <c r="L27" s="8" t="s">
        <v>196</v>
      </c>
      <c r="M27" s="7" t="s">
        <v>27</v>
      </c>
      <c r="N27" s="8" t="s">
        <v>197</v>
      </c>
    </row>
    <row r="28" customFormat="false" ht="60" hidden="false" customHeight="true" outlineLevel="0" collapsed="false">
      <c r="A28" s="4" t="s">
        <v>198</v>
      </c>
      <c r="B28" s="4" t="s">
        <v>40</v>
      </c>
      <c r="C28" s="4" t="n">
        <v>5</v>
      </c>
      <c r="D28" s="4" t="s">
        <v>190</v>
      </c>
      <c r="E28" s="16" t="s">
        <v>190</v>
      </c>
      <c r="F28" s="10" t="s">
        <v>41</v>
      </c>
      <c r="G28" s="4" t="s">
        <v>199</v>
      </c>
      <c r="H28" s="4" t="s">
        <v>200</v>
      </c>
      <c r="I28" s="4" t="s">
        <v>201</v>
      </c>
      <c r="J28" s="4" t="s">
        <v>202</v>
      </c>
      <c r="K28" s="4" t="s">
        <v>203</v>
      </c>
      <c r="L28" s="4" t="s">
        <v>204</v>
      </c>
      <c r="M28" s="7" t="s">
        <v>27</v>
      </c>
      <c r="N28" s="4" t="s">
        <v>205</v>
      </c>
    </row>
    <row r="29" customFormat="false" ht="60" hidden="false" customHeight="true" outlineLevel="0" collapsed="false">
      <c r="A29" s="8" t="s">
        <v>206</v>
      </c>
      <c r="B29" s="8" t="s">
        <v>50</v>
      </c>
      <c r="C29" s="8" t="n">
        <v>5</v>
      </c>
      <c r="D29" s="8" t="s">
        <v>190</v>
      </c>
      <c r="E29" s="16" t="s">
        <v>190</v>
      </c>
      <c r="F29" s="10" t="s">
        <v>41</v>
      </c>
      <c r="G29" s="8" t="s">
        <v>115</v>
      </c>
      <c r="H29" s="8" t="s">
        <v>207</v>
      </c>
      <c r="I29" s="8" t="s">
        <v>208</v>
      </c>
      <c r="J29" s="8" t="s">
        <v>209</v>
      </c>
      <c r="K29" s="8" t="s">
        <v>210</v>
      </c>
      <c r="L29" s="8" t="s">
        <v>211</v>
      </c>
      <c r="M29" s="7" t="s">
        <v>27</v>
      </c>
      <c r="N29" s="8" t="s">
        <v>212</v>
      </c>
    </row>
    <row r="30" customFormat="false" ht="60" hidden="false" customHeight="true" outlineLevel="0" collapsed="false">
      <c r="A30" s="4" t="s">
        <v>213</v>
      </c>
      <c r="B30" s="4" t="s">
        <v>60</v>
      </c>
      <c r="C30" s="4" t="n">
        <v>5</v>
      </c>
      <c r="D30" s="4" t="s">
        <v>190</v>
      </c>
      <c r="E30" s="16" t="s">
        <v>190</v>
      </c>
      <c r="F30" s="10" t="s">
        <v>41</v>
      </c>
      <c r="G30" s="4" t="s">
        <v>214</v>
      </c>
      <c r="H30" s="4" t="s">
        <v>215</v>
      </c>
      <c r="I30" s="4" t="s">
        <v>216</v>
      </c>
      <c r="J30" s="4" t="s">
        <v>217</v>
      </c>
      <c r="K30" s="4" t="s">
        <v>218</v>
      </c>
      <c r="L30" s="4" t="s">
        <v>219</v>
      </c>
      <c r="M30" s="7" t="s">
        <v>27</v>
      </c>
      <c r="N30" s="4" t="s">
        <v>220</v>
      </c>
    </row>
    <row r="31" customFormat="false" ht="19.5" hidden="false" customHeight="true" outlineLevel="0" collapsed="false">
      <c r="A31" s="3" t="s">
        <v>221</v>
      </c>
      <c r="B31" s="3"/>
      <c r="C31" s="3"/>
      <c r="D31" s="3"/>
      <c r="E31" s="3"/>
      <c r="F31" s="3"/>
      <c r="G31" s="3"/>
      <c r="H31" s="3"/>
      <c r="I31" s="3"/>
      <c r="J31" s="3"/>
      <c r="K31" s="3"/>
      <c r="L31" s="3"/>
      <c r="M31" s="3"/>
      <c r="N31" s="3"/>
    </row>
    <row r="32" customFormat="false" ht="60" hidden="false" customHeight="true" outlineLevel="0" collapsed="false">
      <c r="A32" s="4" t="s">
        <v>222</v>
      </c>
      <c r="B32" s="4" t="s">
        <v>17</v>
      </c>
      <c r="C32" s="4" t="n">
        <v>6</v>
      </c>
      <c r="D32" s="4" t="s">
        <v>190</v>
      </c>
      <c r="E32" s="16" t="s">
        <v>190</v>
      </c>
      <c r="F32" s="11" t="s">
        <v>51</v>
      </c>
      <c r="G32" s="4" t="s">
        <v>223</v>
      </c>
      <c r="H32" s="4" t="s">
        <v>224</v>
      </c>
      <c r="I32" s="4" t="s">
        <v>225</v>
      </c>
      <c r="J32" s="4" t="s">
        <v>226</v>
      </c>
      <c r="K32" s="4" t="s">
        <v>227</v>
      </c>
      <c r="L32" s="4" t="s">
        <v>228</v>
      </c>
      <c r="M32" s="7" t="s">
        <v>27</v>
      </c>
      <c r="N32" s="4" t="s">
        <v>229</v>
      </c>
    </row>
    <row r="33" customFormat="false" ht="60" hidden="false" customHeight="true" outlineLevel="0" collapsed="false">
      <c r="A33" s="8" t="s">
        <v>230</v>
      </c>
      <c r="B33" s="8" t="s">
        <v>30</v>
      </c>
      <c r="C33" s="8" t="n">
        <v>6</v>
      </c>
      <c r="D33" s="8" t="s">
        <v>190</v>
      </c>
      <c r="E33" s="16" t="s">
        <v>190</v>
      </c>
      <c r="F33" s="11" t="s">
        <v>51</v>
      </c>
      <c r="G33" s="8" t="s">
        <v>80</v>
      </c>
      <c r="H33" s="8" t="s">
        <v>231</v>
      </c>
      <c r="I33" s="8" t="s">
        <v>232</v>
      </c>
      <c r="J33" s="8" t="s">
        <v>233</v>
      </c>
      <c r="K33" s="8" t="s">
        <v>234</v>
      </c>
      <c r="L33" s="8" t="s">
        <v>235</v>
      </c>
      <c r="M33" s="7" t="s">
        <v>27</v>
      </c>
      <c r="N33" s="8" t="s">
        <v>236</v>
      </c>
    </row>
    <row r="34" customFormat="false" ht="60" hidden="false" customHeight="true" outlineLevel="0" collapsed="false">
      <c r="A34" s="4" t="s">
        <v>237</v>
      </c>
      <c r="B34" s="4" t="s">
        <v>40</v>
      </c>
      <c r="C34" s="4" t="n">
        <v>6</v>
      </c>
      <c r="D34" s="4" t="s">
        <v>190</v>
      </c>
      <c r="E34" s="16" t="s">
        <v>190</v>
      </c>
      <c r="F34" s="11" t="s">
        <v>51</v>
      </c>
      <c r="G34" s="4" t="s">
        <v>52</v>
      </c>
      <c r="H34" s="4" t="s">
        <v>238</v>
      </c>
      <c r="I34" s="4" t="s">
        <v>239</v>
      </c>
      <c r="J34" s="4" t="s">
        <v>240</v>
      </c>
      <c r="K34" s="4" t="s">
        <v>241</v>
      </c>
      <c r="L34" s="4" t="s">
        <v>242</v>
      </c>
      <c r="M34" s="7" t="s">
        <v>27</v>
      </c>
      <c r="N34" s="4" t="s">
        <v>243</v>
      </c>
    </row>
    <row r="35" customFormat="false" ht="60" hidden="false" customHeight="true" outlineLevel="0" collapsed="false">
      <c r="A35" s="8" t="s">
        <v>244</v>
      </c>
      <c r="B35" s="8" t="s">
        <v>60</v>
      </c>
      <c r="C35" s="8" t="n">
        <v>6</v>
      </c>
      <c r="D35" s="8" t="s">
        <v>190</v>
      </c>
      <c r="E35" s="16" t="s">
        <v>190</v>
      </c>
      <c r="F35" s="11" t="s">
        <v>51</v>
      </c>
      <c r="G35" s="8" t="s">
        <v>245</v>
      </c>
      <c r="H35" s="8" t="s">
        <v>246</v>
      </c>
      <c r="I35" s="8" t="s">
        <v>247</v>
      </c>
      <c r="J35" s="8" t="s">
        <v>248</v>
      </c>
      <c r="K35" s="8" t="s">
        <v>249</v>
      </c>
      <c r="L35" s="8" t="s">
        <v>250</v>
      </c>
      <c r="M35" s="7" t="s">
        <v>27</v>
      </c>
      <c r="N35" s="8" t="s">
        <v>251</v>
      </c>
    </row>
    <row r="36" customFormat="false" ht="19.5" hidden="false" customHeight="true" outlineLevel="0" collapsed="false">
      <c r="A36" s="3" t="s">
        <v>252</v>
      </c>
      <c r="B36" s="3"/>
      <c r="C36" s="3"/>
      <c r="D36" s="3"/>
      <c r="E36" s="3"/>
      <c r="F36" s="3"/>
      <c r="G36" s="3"/>
      <c r="H36" s="3"/>
      <c r="I36" s="3"/>
      <c r="J36" s="3"/>
      <c r="K36" s="3"/>
      <c r="L36" s="3"/>
      <c r="M36" s="3"/>
      <c r="N36" s="3"/>
    </row>
    <row r="37" customFormat="false" ht="60" hidden="false" customHeight="true" outlineLevel="0" collapsed="false">
      <c r="A37" s="8" t="s">
        <v>253</v>
      </c>
      <c r="B37" s="8" t="s">
        <v>17</v>
      </c>
      <c r="C37" s="8" t="n">
        <v>7</v>
      </c>
      <c r="D37" s="8" t="s">
        <v>190</v>
      </c>
      <c r="E37" s="16" t="s">
        <v>190</v>
      </c>
      <c r="F37" s="9" t="s">
        <v>31</v>
      </c>
      <c r="G37" s="8" t="s">
        <v>254</v>
      </c>
      <c r="H37" s="8" t="s">
        <v>255</v>
      </c>
      <c r="I37" s="8" t="s">
        <v>256</v>
      </c>
      <c r="J37" s="8" t="s">
        <v>108</v>
      </c>
      <c r="K37" s="8" t="s">
        <v>257</v>
      </c>
      <c r="L37" s="8" t="s">
        <v>258</v>
      </c>
      <c r="M37" s="7" t="s">
        <v>27</v>
      </c>
      <c r="N37" s="8" t="s">
        <v>259</v>
      </c>
    </row>
    <row r="38" customFormat="false" ht="60" hidden="false" customHeight="true" outlineLevel="0" collapsed="false">
      <c r="A38" s="4" t="s">
        <v>260</v>
      </c>
      <c r="B38" s="4" t="s">
        <v>30</v>
      </c>
      <c r="C38" s="4" t="n">
        <v>7</v>
      </c>
      <c r="D38" s="4" t="s">
        <v>190</v>
      </c>
      <c r="E38" s="16" t="s">
        <v>190</v>
      </c>
      <c r="F38" s="9" t="s">
        <v>31</v>
      </c>
      <c r="G38" s="4" t="s">
        <v>261</v>
      </c>
      <c r="H38" s="4" t="s">
        <v>262</v>
      </c>
      <c r="I38" s="4" t="s">
        <v>263</v>
      </c>
      <c r="J38" s="4" t="s">
        <v>264</v>
      </c>
      <c r="K38" s="4" t="s">
        <v>265</v>
      </c>
      <c r="L38" s="4" t="s">
        <v>266</v>
      </c>
      <c r="M38" s="7" t="s">
        <v>27</v>
      </c>
      <c r="N38" s="4" t="s">
        <v>267</v>
      </c>
    </row>
    <row r="39" customFormat="false" ht="60" hidden="false" customHeight="true" outlineLevel="0" collapsed="false">
      <c r="A39" s="8" t="s">
        <v>268</v>
      </c>
      <c r="B39" s="8" t="s">
        <v>40</v>
      </c>
      <c r="C39" s="8" t="n">
        <v>7</v>
      </c>
      <c r="D39" s="8" t="s">
        <v>190</v>
      </c>
      <c r="E39" s="16" t="s">
        <v>190</v>
      </c>
      <c r="F39" s="9" t="s">
        <v>31</v>
      </c>
      <c r="G39" s="8" t="s">
        <v>269</v>
      </c>
      <c r="H39" s="8" t="s">
        <v>270</v>
      </c>
      <c r="I39" s="8" t="s">
        <v>271</v>
      </c>
      <c r="J39" s="8" t="s">
        <v>272</v>
      </c>
      <c r="K39" s="8" t="s">
        <v>273</v>
      </c>
      <c r="L39" s="8" t="s">
        <v>274</v>
      </c>
      <c r="M39" s="7" t="s">
        <v>27</v>
      </c>
      <c r="N39" s="8" t="s">
        <v>275</v>
      </c>
    </row>
    <row r="40" customFormat="false" ht="60" hidden="false" customHeight="true" outlineLevel="0" collapsed="false">
      <c r="A40" s="4" t="s">
        <v>276</v>
      </c>
      <c r="B40" s="4" t="s">
        <v>60</v>
      </c>
      <c r="C40" s="4" t="n">
        <v>7</v>
      </c>
      <c r="D40" s="4" t="s">
        <v>190</v>
      </c>
      <c r="E40" s="16" t="s">
        <v>190</v>
      </c>
      <c r="F40" s="9" t="s">
        <v>31</v>
      </c>
      <c r="G40" s="4" t="s">
        <v>245</v>
      </c>
      <c r="H40" s="4" t="s">
        <v>277</v>
      </c>
      <c r="I40" s="4" t="s">
        <v>278</v>
      </c>
      <c r="J40" s="4" t="s">
        <v>279</v>
      </c>
      <c r="K40" s="4" t="s">
        <v>280</v>
      </c>
      <c r="L40" s="4" t="s">
        <v>281</v>
      </c>
      <c r="M40" s="7" t="s">
        <v>27</v>
      </c>
      <c r="N40" s="4" t="s">
        <v>282</v>
      </c>
    </row>
    <row r="41" customFormat="false" ht="19.5" hidden="false" customHeight="true" outlineLevel="0" collapsed="false">
      <c r="A41" s="3" t="s">
        <v>283</v>
      </c>
      <c r="B41" s="3"/>
      <c r="C41" s="3"/>
      <c r="D41" s="3"/>
      <c r="E41" s="3"/>
      <c r="F41" s="3"/>
      <c r="G41" s="3"/>
      <c r="H41" s="3"/>
      <c r="I41" s="3"/>
      <c r="J41" s="3"/>
      <c r="K41" s="3"/>
      <c r="L41" s="3"/>
      <c r="M41" s="3"/>
      <c r="N41" s="3"/>
    </row>
    <row r="42" customFormat="false" ht="60" hidden="false" customHeight="true" outlineLevel="0" collapsed="false">
      <c r="A42" s="4" t="s">
        <v>284</v>
      </c>
      <c r="B42" s="4" t="s">
        <v>30</v>
      </c>
      <c r="C42" s="4" t="n">
        <v>8</v>
      </c>
      <c r="D42" s="4" t="s">
        <v>285</v>
      </c>
      <c r="E42" s="17" t="s">
        <v>285</v>
      </c>
      <c r="F42" s="6" t="s">
        <v>20</v>
      </c>
      <c r="G42" s="4" t="s">
        <v>286</v>
      </c>
      <c r="H42" s="4" t="s">
        <v>287</v>
      </c>
      <c r="I42" s="4" t="s">
        <v>288</v>
      </c>
      <c r="J42" s="4" t="s">
        <v>289</v>
      </c>
      <c r="K42" s="4" t="s">
        <v>290</v>
      </c>
      <c r="L42" s="4" t="s">
        <v>291</v>
      </c>
      <c r="M42" s="7" t="s">
        <v>27</v>
      </c>
      <c r="N42" s="4" t="s">
        <v>292</v>
      </c>
    </row>
    <row r="43" customFormat="false" ht="60" hidden="false" customHeight="true" outlineLevel="0" collapsed="false">
      <c r="A43" s="8" t="s">
        <v>293</v>
      </c>
      <c r="B43" s="8" t="s">
        <v>40</v>
      </c>
      <c r="C43" s="8" t="n">
        <v>8</v>
      </c>
      <c r="D43" s="8" t="s">
        <v>285</v>
      </c>
      <c r="E43" s="17" t="s">
        <v>285</v>
      </c>
      <c r="F43" s="6" t="s">
        <v>20</v>
      </c>
      <c r="G43" s="8" t="s">
        <v>294</v>
      </c>
      <c r="H43" s="8" t="s">
        <v>295</v>
      </c>
      <c r="I43" s="8" t="s">
        <v>296</v>
      </c>
      <c r="J43" s="8" t="s">
        <v>297</v>
      </c>
      <c r="K43" s="8" t="s">
        <v>298</v>
      </c>
      <c r="L43" s="8" t="s">
        <v>299</v>
      </c>
      <c r="M43" s="7" t="s">
        <v>27</v>
      </c>
      <c r="N43" s="8" t="s">
        <v>300</v>
      </c>
    </row>
    <row r="44" customFormat="false" ht="60" hidden="false" customHeight="true" outlineLevel="0" collapsed="false">
      <c r="A44" s="4" t="s">
        <v>301</v>
      </c>
      <c r="B44" s="4" t="s">
        <v>50</v>
      </c>
      <c r="C44" s="4" t="n">
        <v>8</v>
      </c>
      <c r="D44" s="4" t="s">
        <v>302</v>
      </c>
      <c r="E44" s="18" t="s">
        <v>302</v>
      </c>
      <c r="F44" s="6" t="s">
        <v>20</v>
      </c>
      <c r="G44" s="4" t="s">
        <v>303</v>
      </c>
      <c r="H44" s="4" t="s">
        <v>304</v>
      </c>
      <c r="I44" s="4" t="s">
        <v>305</v>
      </c>
      <c r="J44" s="4" t="s">
        <v>306</v>
      </c>
      <c r="K44" s="4" t="s">
        <v>307</v>
      </c>
      <c r="L44" s="4" t="s">
        <v>308</v>
      </c>
      <c r="M44" s="7" t="s">
        <v>27</v>
      </c>
      <c r="N44" s="4" t="s">
        <v>309</v>
      </c>
    </row>
    <row r="45" customFormat="false" ht="60" hidden="false" customHeight="true" outlineLevel="0" collapsed="false">
      <c r="A45" s="8" t="s">
        <v>310</v>
      </c>
      <c r="B45" s="8" t="s">
        <v>60</v>
      </c>
      <c r="C45" s="8" t="n">
        <v>8</v>
      </c>
      <c r="D45" s="8" t="s">
        <v>285</v>
      </c>
      <c r="E45" s="17" t="s">
        <v>285</v>
      </c>
      <c r="F45" s="6" t="s">
        <v>20</v>
      </c>
      <c r="G45" s="8" t="s">
        <v>311</v>
      </c>
      <c r="H45" s="8" t="s">
        <v>312</v>
      </c>
      <c r="I45" s="8" t="s">
        <v>313</v>
      </c>
      <c r="J45" s="8" t="s">
        <v>314</v>
      </c>
      <c r="K45" s="8" t="s">
        <v>315</v>
      </c>
      <c r="L45" s="8" t="s">
        <v>316</v>
      </c>
      <c r="M45" s="7" t="s">
        <v>27</v>
      </c>
      <c r="N45" s="8" t="s">
        <v>317</v>
      </c>
    </row>
  </sheetData>
  <mergeCells count="9">
    <mergeCell ref="A1:N1"/>
    <mergeCell ref="A3:N3"/>
    <mergeCell ref="A9:N9"/>
    <mergeCell ref="A15:N15"/>
    <mergeCell ref="A21:N21"/>
    <mergeCell ref="A26:N26"/>
    <mergeCell ref="A31:N31"/>
    <mergeCell ref="A36:N36"/>
    <mergeCell ref="A41:N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42"/>
    <col collapsed="false" customWidth="true" hidden="false" outlineLevel="0" max="4" min="4" style="0" width="26"/>
    <col collapsed="false" customWidth="true" hidden="false" outlineLevel="0" max="5" min="5" style="0" width="36"/>
    <col collapsed="false" customWidth="true" hidden="false" outlineLevel="0" max="6" min="6" style="0" width="34"/>
    <col collapsed="false" customWidth="true" hidden="false" outlineLevel="0" max="7" min="7" style="0" width="30"/>
  </cols>
  <sheetData>
    <row r="1" customFormat="false" ht="27.75" hidden="false" customHeight="true" outlineLevel="0" collapsed="false">
      <c r="A1" s="19" t="s">
        <v>318</v>
      </c>
      <c r="B1" s="19"/>
      <c r="C1" s="19"/>
      <c r="D1" s="19"/>
      <c r="E1" s="19"/>
      <c r="F1" s="19"/>
      <c r="G1" s="19"/>
    </row>
    <row r="2" customFormat="false" ht="27.75" hidden="false" customHeight="true" outlineLevel="0" collapsed="false">
      <c r="A2" s="2" t="s">
        <v>319</v>
      </c>
      <c r="B2" s="2" t="s">
        <v>320</v>
      </c>
      <c r="C2" s="2" t="s">
        <v>321</v>
      </c>
      <c r="D2" s="2" t="s">
        <v>322</v>
      </c>
      <c r="E2" s="2" t="s">
        <v>323</v>
      </c>
      <c r="F2" s="2" t="s">
        <v>324</v>
      </c>
      <c r="G2" s="2" t="s">
        <v>325</v>
      </c>
    </row>
    <row r="3" customFormat="false" ht="54.75" hidden="false" customHeight="true" outlineLevel="0" collapsed="false">
      <c r="A3" s="5" t="s">
        <v>19</v>
      </c>
      <c r="B3" s="20" t="s">
        <v>326</v>
      </c>
      <c r="C3" s="8" t="s">
        <v>327</v>
      </c>
      <c r="D3" s="8" t="s">
        <v>20</v>
      </c>
      <c r="E3" s="8" t="s">
        <v>328</v>
      </c>
      <c r="F3" s="8" t="s">
        <v>329</v>
      </c>
      <c r="G3" s="8" t="s">
        <v>330</v>
      </c>
    </row>
    <row r="4" customFormat="false" ht="54.75" hidden="false" customHeight="true" outlineLevel="0" collapsed="false">
      <c r="A4" s="12" t="s">
        <v>71</v>
      </c>
      <c r="B4" s="21" t="s">
        <v>331</v>
      </c>
      <c r="C4" s="4" t="s">
        <v>332</v>
      </c>
      <c r="D4" s="4" t="s">
        <v>333</v>
      </c>
      <c r="E4" s="4" t="s">
        <v>334</v>
      </c>
      <c r="F4" s="4" t="s">
        <v>335</v>
      </c>
      <c r="G4" s="4" t="s">
        <v>336</v>
      </c>
    </row>
    <row r="5" customFormat="false" ht="54.75" hidden="false" customHeight="true" outlineLevel="0" collapsed="false">
      <c r="A5" s="15" t="s">
        <v>156</v>
      </c>
      <c r="B5" s="22" t="s">
        <v>337</v>
      </c>
      <c r="C5" s="8" t="s">
        <v>338</v>
      </c>
      <c r="D5" s="8" t="s">
        <v>339</v>
      </c>
      <c r="E5" s="8" t="s">
        <v>340</v>
      </c>
      <c r="F5" s="8" t="s">
        <v>341</v>
      </c>
      <c r="G5" s="8" t="s">
        <v>342</v>
      </c>
    </row>
    <row r="6" customFormat="false" ht="54.75" hidden="false" customHeight="true" outlineLevel="0" collapsed="false">
      <c r="A6" s="14" t="s">
        <v>114</v>
      </c>
      <c r="B6" s="23" t="s">
        <v>343</v>
      </c>
      <c r="C6" s="4" t="s">
        <v>344</v>
      </c>
      <c r="D6" s="4" t="s">
        <v>345</v>
      </c>
      <c r="E6" s="4" t="s">
        <v>346</v>
      </c>
      <c r="F6" s="4" t="s">
        <v>347</v>
      </c>
      <c r="G6" s="4" t="s">
        <v>348</v>
      </c>
    </row>
    <row r="7" customFormat="false" ht="54.75" hidden="false" customHeight="true" outlineLevel="0" collapsed="false">
      <c r="A7" s="17" t="s">
        <v>285</v>
      </c>
      <c r="B7" s="24" t="s">
        <v>349</v>
      </c>
      <c r="C7" s="8" t="s">
        <v>350</v>
      </c>
      <c r="D7" s="8" t="s">
        <v>20</v>
      </c>
      <c r="E7" s="8" t="s">
        <v>351</v>
      </c>
      <c r="F7" s="8" t="s">
        <v>352</v>
      </c>
      <c r="G7" s="8" t="s">
        <v>299</v>
      </c>
    </row>
    <row r="8" customFormat="false" ht="54.75" hidden="false" customHeight="true" outlineLevel="0" collapsed="false">
      <c r="A8" s="18" t="s">
        <v>302</v>
      </c>
      <c r="B8" s="25" t="s">
        <v>353</v>
      </c>
      <c r="C8" s="4" t="s">
        <v>354</v>
      </c>
      <c r="D8" s="4" t="s">
        <v>355</v>
      </c>
      <c r="E8" s="4" t="s">
        <v>356</v>
      </c>
      <c r="F8" s="4" t="s">
        <v>357</v>
      </c>
      <c r="G8" s="4" t="s">
        <v>358</v>
      </c>
    </row>
    <row r="9" customFormat="false" ht="54.75" hidden="false" customHeight="true" outlineLevel="0" collapsed="false">
      <c r="A9" s="16" t="s">
        <v>190</v>
      </c>
      <c r="B9" s="26" t="s">
        <v>359</v>
      </c>
      <c r="C9" s="8" t="s">
        <v>360</v>
      </c>
      <c r="D9" s="8" t="s">
        <v>361</v>
      </c>
      <c r="E9" s="8" t="s">
        <v>362</v>
      </c>
      <c r="F9" s="8" t="s">
        <v>363</v>
      </c>
      <c r="G9" s="8" t="s">
        <v>364</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28"/>
    <col collapsed="false" customWidth="true" hidden="false" outlineLevel="0" max="5" min="4" style="0" width="42"/>
    <col collapsed="false" customWidth="true" hidden="false" outlineLevel="0" max="7" min="6" style="0" width="22"/>
    <col collapsed="false" customWidth="true" hidden="false" outlineLevel="0" max="8" min="8" style="0" width="16"/>
  </cols>
  <sheetData>
    <row r="1" customFormat="false" ht="27.75" hidden="false" customHeight="true" outlineLevel="0" collapsed="false">
      <c r="A1" s="19" t="s">
        <v>365</v>
      </c>
      <c r="B1" s="19"/>
      <c r="C1" s="19"/>
      <c r="D1" s="19"/>
      <c r="E1" s="19"/>
      <c r="F1" s="19"/>
      <c r="G1" s="19"/>
      <c r="H1" s="19"/>
    </row>
    <row r="2" customFormat="false" ht="27.75" hidden="false" customHeight="true" outlineLevel="0" collapsed="false">
      <c r="A2" s="2" t="s">
        <v>6</v>
      </c>
      <c r="B2" s="2" t="s">
        <v>366</v>
      </c>
      <c r="C2" s="2" t="s">
        <v>367</v>
      </c>
      <c r="D2" s="2" t="s">
        <v>368</v>
      </c>
      <c r="E2" s="2" t="s">
        <v>369</v>
      </c>
      <c r="F2" s="2" t="s">
        <v>370</v>
      </c>
      <c r="G2" s="2" t="s">
        <v>371</v>
      </c>
      <c r="H2" s="2" t="s">
        <v>372</v>
      </c>
    </row>
    <row r="3" customFormat="false" ht="72" hidden="false" customHeight="true" outlineLevel="0" collapsed="false">
      <c r="A3" s="27" t="s">
        <v>41</v>
      </c>
      <c r="B3" s="28" t="s">
        <v>373</v>
      </c>
      <c r="C3" s="8" t="s">
        <v>374</v>
      </c>
      <c r="D3" s="8" t="s">
        <v>375</v>
      </c>
      <c r="E3" s="8" t="s">
        <v>376</v>
      </c>
      <c r="F3" s="8" t="s">
        <v>377</v>
      </c>
      <c r="G3" s="29" t="s">
        <v>378</v>
      </c>
      <c r="H3" s="8" t="s">
        <v>379</v>
      </c>
    </row>
    <row r="4" customFormat="false" ht="72" hidden="false" customHeight="true" outlineLevel="0" collapsed="false">
      <c r="A4" s="30" t="s">
        <v>51</v>
      </c>
      <c r="B4" s="28" t="s">
        <v>373</v>
      </c>
      <c r="C4" s="4" t="s">
        <v>380</v>
      </c>
      <c r="D4" s="4" t="s">
        <v>381</v>
      </c>
      <c r="E4" s="4" t="s">
        <v>382</v>
      </c>
      <c r="F4" s="4" t="s">
        <v>383</v>
      </c>
      <c r="G4" s="29" t="s">
        <v>384</v>
      </c>
      <c r="H4" s="4" t="s">
        <v>385</v>
      </c>
    </row>
    <row r="5" customFormat="false" ht="72" hidden="false" customHeight="true" outlineLevel="0" collapsed="false">
      <c r="A5" s="31" t="s">
        <v>31</v>
      </c>
      <c r="B5" s="28" t="s">
        <v>373</v>
      </c>
      <c r="C5" s="8" t="s">
        <v>386</v>
      </c>
      <c r="D5" s="8" t="s">
        <v>387</v>
      </c>
      <c r="E5" s="8" t="s">
        <v>388</v>
      </c>
      <c r="F5" s="8" t="s">
        <v>389</v>
      </c>
      <c r="G5" s="29" t="s">
        <v>390</v>
      </c>
      <c r="H5" s="8" t="s">
        <v>391</v>
      </c>
    </row>
    <row r="6" customFormat="false" ht="72" hidden="false" customHeight="true" outlineLevel="0" collapsed="false">
      <c r="A6" s="32" t="s">
        <v>88</v>
      </c>
      <c r="B6" s="30" t="s">
        <v>392</v>
      </c>
      <c r="C6" s="4" t="s">
        <v>393</v>
      </c>
      <c r="D6" s="4" t="s">
        <v>394</v>
      </c>
      <c r="E6" s="4" t="s">
        <v>395</v>
      </c>
      <c r="F6" s="4" t="s">
        <v>396</v>
      </c>
      <c r="G6" s="29" t="s">
        <v>397</v>
      </c>
      <c r="H6" s="4" t="s">
        <v>398</v>
      </c>
    </row>
    <row r="7" customFormat="false" ht="72" hidden="false" customHeight="true" outlineLevel="0" collapsed="false">
      <c r="A7" s="33" t="s">
        <v>399</v>
      </c>
      <c r="B7" s="30" t="s">
        <v>392</v>
      </c>
      <c r="C7" s="8" t="s">
        <v>400</v>
      </c>
      <c r="D7" s="8" t="s">
        <v>401</v>
      </c>
      <c r="E7" s="8" t="s">
        <v>402</v>
      </c>
      <c r="F7" s="8" t="s">
        <v>403</v>
      </c>
      <c r="G7" s="29" t="s">
        <v>404</v>
      </c>
      <c r="H7" s="8" t="s">
        <v>405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8"/>
    <col collapsed="false" customWidth="true" hidden="false" outlineLevel="0" max="3" min="3" style="0" width="14"/>
  </cols>
  <sheetData>
    <row r="1" customFormat="false" ht="27.75" hidden="false" customHeight="true" outlineLevel="0" collapsed="false">
      <c r="A1" s="19" t="s">
        <v>406</v>
      </c>
      <c r="B1" s="19"/>
      <c r="C1" s="19"/>
      <c r="D1" s="19"/>
    </row>
    <row r="2" customFormat="false" ht="18" hidden="false" customHeight="true" outlineLevel="0" collapsed="false">
      <c r="A2" s="34"/>
      <c r="B2" s="35"/>
      <c r="C2" s="35"/>
      <c r="D2" s="35"/>
    </row>
    <row r="3" customFormat="false" ht="18" hidden="false" customHeight="true" outlineLevel="0" collapsed="false">
      <c r="A3" s="36" t="s">
        <v>407</v>
      </c>
      <c r="B3" s="37" t="s">
        <v>408</v>
      </c>
      <c r="C3" s="37"/>
      <c r="D3" s="37"/>
    </row>
    <row r="4" customFormat="false" ht="18" hidden="false" customHeight="true" outlineLevel="0" collapsed="false">
      <c r="A4" s="38" t="s">
        <v>409</v>
      </c>
      <c r="B4" s="39" t="s">
        <v>410</v>
      </c>
      <c r="C4" s="39"/>
      <c r="D4" s="39"/>
    </row>
    <row r="5" customFormat="false" ht="18" hidden="false" customHeight="true" outlineLevel="0" collapsed="false">
      <c r="A5" s="40" t="s">
        <v>411</v>
      </c>
      <c r="B5" s="41" t="s">
        <v>412</v>
      </c>
      <c r="C5" s="41"/>
      <c r="D5" s="41"/>
    </row>
    <row r="6" customFormat="false" ht="18" hidden="false" customHeight="true" outlineLevel="0" collapsed="false">
      <c r="A6" s="38" t="s">
        <v>413</v>
      </c>
      <c r="B6" s="39" t="s">
        <v>414</v>
      </c>
      <c r="C6" s="39"/>
      <c r="D6" s="39"/>
    </row>
    <row r="7" customFormat="false" ht="18" hidden="false" customHeight="true" outlineLevel="0" collapsed="false">
      <c r="A7" s="40" t="s">
        <v>415</v>
      </c>
      <c r="B7" s="41" t="s">
        <v>416</v>
      </c>
      <c r="C7" s="41"/>
      <c r="D7" s="41"/>
    </row>
    <row r="8" customFormat="false" ht="18" hidden="false" customHeight="true" outlineLevel="0" collapsed="false">
      <c r="A8" s="34"/>
      <c r="B8" s="35"/>
      <c r="C8" s="35"/>
      <c r="D8" s="35"/>
    </row>
    <row r="9" customFormat="false" ht="18" hidden="false" customHeight="true" outlineLevel="0" collapsed="false">
      <c r="A9" s="36" t="s">
        <v>417</v>
      </c>
      <c r="B9" s="37" t="s">
        <v>418</v>
      </c>
      <c r="C9" s="37" t="s">
        <v>419</v>
      </c>
      <c r="D9" s="37"/>
    </row>
    <row r="10" customFormat="false" ht="18" hidden="false" customHeight="true" outlineLevel="0" collapsed="false">
      <c r="A10" s="38" t="s">
        <v>41</v>
      </c>
      <c r="B10" s="39" t="n">
        <f aca="false">COUNTIF('LinkedIn Content Calendar'!F:F,"AI Agent Builders")</f>
        <v>8</v>
      </c>
      <c r="C10" s="42" t="n">
        <f aca="false">B10/B4</f>
        <v>0.222222222222222</v>
      </c>
      <c r="D10" s="39"/>
    </row>
    <row r="11" customFormat="false" ht="18" hidden="false" customHeight="true" outlineLevel="0" collapsed="false">
      <c r="A11" s="40" t="s">
        <v>51</v>
      </c>
      <c r="B11" s="41" t="n">
        <f aca="false">COUNTIF('LinkedIn Content Calendar'!F:F,"B2B Lead Gen Operators")</f>
        <v>7</v>
      </c>
      <c r="C11" s="43" t="n">
        <f aca="false">B11/B4</f>
        <v>0.194444444444444</v>
      </c>
      <c r="D11" s="41"/>
    </row>
    <row r="12" customFormat="false" ht="18" hidden="false" customHeight="true" outlineLevel="0" collapsed="false">
      <c r="A12" s="38" t="s">
        <v>31</v>
      </c>
      <c r="B12" s="39" t="n">
        <f aca="false">COUNTIF('LinkedIn Content Calendar'!F:F,"Operations Leaders")</f>
        <v>8</v>
      </c>
      <c r="C12" s="42" t="n">
        <f aca="false">B12/B4</f>
        <v>0.222222222222222</v>
      </c>
      <c r="D12" s="39"/>
    </row>
    <row r="13" customFormat="false" ht="18" hidden="false" customHeight="true" outlineLevel="0" collapsed="false">
      <c r="A13" s="40" t="s">
        <v>88</v>
      </c>
      <c r="B13" s="41" t="n">
        <f aca="false">COUNTIF('LinkedIn Content Calendar'!F:F,"Enterprise CTOs")</f>
        <v>3</v>
      </c>
      <c r="C13" s="43" t="n">
        <f aca="false">B13/B4</f>
        <v>0.0833333333333333</v>
      </c>
      <c r="D13" s="41"/>
    </row>
    <row r="14" customFormat="false" ht="18" hidden="false" customHeight="true" outlineLevel="0" collapsed="false">
      <c r="A14" s="38" t="s">
        <v>399</v>
      </c>
      <c r="B14" s="39" t="n">
        <f aca="false">COUNTIF('LinkedIn Content Calendar'!F:F,"Community Builders")</f>
        <v>0</v>
      </c>
      <c r="C14" s="42" t="n">
        <f aca="false">B14/B4</f>
        <v>0</v>
      </c>
      <c r="D14" s="39"/>
    </row>
    <row r="15" customFormat="false" ht="18" hidden="false" customHeight="true" outlineLevel="0" collapsed="false">
      <c r="A15" s="40" t="s">
        <v>20</v>
      </c>
      <c r="B15" s="41" t="n">
        <f aca="false">COUNTIF('LinkedIn Content Calendar'!F:F,"All Segments")</f>
        <v>9</v>
      </c>
      <c r="C15" s="43" t="n">
        <f aca="false">B15/B4</f>
        <v>0.25</v>
      </c>
      <c r="D15" s="41"/>
    </row>
    <row r="16" customFormat="false" ht="18" hidden="false" customHeight="true" outlineLevel="0" collapsed="false">
      <c r="A16" s="34"/>
      <c r="B16" s="35"/>
      <c r="C16" s="35"/>
      <c r="D16" s="35"/>
    </row>
    <row r="17" customFormat="false" ht="18" hidden="false" customHeight="true" outlineLevel="0" collapsed="false">
      <c r="A17" s="36" t="s">
        <v>420</v>
      </c>
      <c r="B17" s="37" t="s">
        <v>418</v>
      </c>
      <c r="C17" s="37"/>
      <c r="D17" s="37"/>
    </row>
    <row r="18" customFormat="false" ht="18" hidden="false" customHeight="true" outlineLevel="0" collapsed="false">
      <c r="A18" s="38" t="s">
        <v>19</v>
      </c>
      <c r="B18" s="39" t="n">
        <f aca="false">COUNTIF('LinkedIn Content Calendar'!E:E,"Context Rot")</f>
        <v>5</v>
      </c>
      <c r="C18" s="39"/>
      <c r="D18" s="39"/>
    </row>
    <row r="19" customFormat="false" ht="18" hidden="false" customHeight="true" outlineLevel="0" collapsed="false">
      <c r="A19" s="40" t="s">
        <v>71</v>
      </c>
      <c r="B19" s="41" t="n">
        <f aca="false">COUNTIF('LinkedIn Content Calendar'!E:E,"Architecture")</f>
        <v>5</v>
      </c>
      <c r="C19" s="41"/>
      <c r="D19" s="41"/>
    </row>
    <row r="20" customFormat="false" ht="18" hidden="false" customHeight="true" outlineLevel="0" collapsed="false">
      <c r="A20" s="38" t="s">
        <v>156</v>
      </c>
      <c r="B20" s="39" t="n">
        <f aca="false">COUNTIF('LinkedIn Content Calendar'!E:E,"Social Proof")</f>
        <v>4</v>
      </c>
      <c r="C20" s="39"/>
      <c r="D20" s="39"/>
    </row>
    <row r="21" customFormat="false" ht="18" hidden="false" customHeight="true" outlineLevel="0" collapsed="false">
      <c r="A21" s="40" t="s">
        <v>114</v>
      </c>
      <c r="B21" s="41" t="n">
        <f aca="false">COUNTIF('LinkedIn Content Calendar'!E:E,"Competitive")</f>
        <v>5</v>
      </c>
      <c r="C21" s="41"/>
      <c r="D21" s="41"/>
    </row>
    <row r="22" customFormat="false" ht="18" hidden="false" customHeight="true" outlineLevel="0" collapsed="false">
      <c r="A22" s="38" t="s">
        <v>285</v>
      </c>
      <c r="B22" s="39" t="n">
        <f aca="false">COUNTIF('LinkedIn Content Calendar'!E:E,"Thought Leadership")</f>
        <v>3</v>
      </c>
      <c r="C22" s="39"/>
      <c r="D22" s="39"/>
    </row>
    <row r="23" customFormat="false" ht="18" hidden="false" customHeight="true" outlineLevel="0" collapsed="false">
      <c r="A23" s="40" t="s">
        <v>302</v>
      </c>
      <c r="B23" s="41" t="n">
        <f aca="false">COUNTIF('LinkedIn Content Calendar'!E:E,"Product")</f>
        <v>1</v>
      </c>
      <c r="C23" s="41"/>
      <c r="D23" s="41"/>
    </row>
    <row r="24" customFormat="false" ht="18" hidden="false" customHeight="true" outlineLevel="0" collapsed="false">
      <c r="A24" s="38" t="s">
        <v>190</v>
      </c>
      <c r="B24" s="39" t="n">
        <f aca="false">COUNTIF('LinkedIn Content Calendar'!E:E,"ICP Deep Dive")</f>
        <v>12</v>
      </c>
      <c r="C24" s="39"/>
      <c r="D24" s="39"/>
    </row>
    <row r="25" customFormat="false" ht="18" hidden="false" customHeight="true" outlineLevel="0" collapsed="false">
      <c r="A25" s="34"/>
      <c r="B25" s="35"/>
      <c r="C25" s="35"/>
      <c r="D25" s="35"/>
    </row>
    <row r="26" customFormat="false" ht="18" hidden="false" customHeight="true" outlineLevel="0" collapsed="false">
      <c r="A26" s="36" t="s">
        <v>421</v>
      </c>
      <c r="B26" s="37" t="s">
        <v>418</v>
      </c>
      <c r="C26" s="37"/>
      <c r="D26" s="37"/>
    </row>
    <row r="27" customFormat="false" ht="18" hidden="false" customHeight="true" outlineLevel="0" collapsed="false">
      <c r="A27" s="40" t="s">
        <v>21</v>
      </c>
      <c r="B27" s="41" t="n">
        <f aca="false">COUNTIF('LinkedIn Content Calendar'!G:G,"Text Post")</f>
        <v>1</v>
      </c>
      <c r="C27" s="41"/>
      <c r="D27" s="41"/>
    </row>
    <row r="28" customFormat="false" ht="18" hidden="false" customHeight="true" outlineLevel="0" collapsed="false">
      <c r="A28" s="38" t="s">
        <v>80</v>
      </c>
      <c r="B28" s="39" t="n">
        <f aca="false">COUNTIF('LinkedIn Content Calendar'!G:G,"Framework Post")</f>
        <v>2</v>
      </c>
      <c r="C28" s="39"/>
      <c r="D28" s="39"/>
    </row>
    <row r="29" customFormat="false" ht="18" hidden="false" customHeight="true" outlineLevel="0" collapsed="false">
      <c r="A29" s="40" t="s">
        <v>115</v>
      </c>
      <c r="B29" s="41" t="n">
        <f aca="false">COUNTIF('LinkedIn Content Calendar'!G:G,"Comparison Post")</f>
        <v>2</v>
      </c>
      <c r="C29" s="41"/>
      <c r="D29" s="41"/>
    </row>
    <row r="30" customFormat="false" ht="18" hidden="false" customHeight="true" outlineLevel="0" collapsed="false">
      <c r="A30" s="38" t="s">
        <v>52</v>
      </c>
      <c r="B30" s="39" t="n">
        <f aca="false">COUNTIF('LinkedIn Content Calendar'!G:G,"Storytelling Post")</f>
        <v>2</v>
      </c>
      <c r="C30" s="39"/>
      <c r="D30" s="39"/>
    </row>
    <row r="31" customFormat="false" ht="18" hidden="false" customHeight="true" outlineLevel="0" collapsed="false">
      <c r="A31" s="40" t="s">
        <v>245</v>
      </c>
      <c r="B31" s="41" t="n">
        <f aca="false">COUNTIF('LinkedIn Content Calendar'!G:G,"CTA Post")</f>
        <v>2</v>
      </c>
      <c r="C31" s="41"/>
      <c r="D31" s="41"/>
    </row>
    <row r="32" customFormat="false" ht="18" hidden="false" customHeight="true" outlineLevel="0" collapsed="false">
      <c r="A32" s="38" t="s">
        <v>72</v>
      </c>
      <c r="B32" s="39" t="n">
        <f aca="false">COUNTIF('LinkedIn Content Calendar'!G:G,"Carousel / Infographic")</f>
        <v>1</v>
      </c>
      <c r="C32" s="39"/>
      <c r="D32" s="39"/>
    </row>
    <row r="33" customFormat="false" ht="18" hidden="false" customHeight="true" outlineLevel="0" collapsed="false">
      <c r="A33" s="40" t="s">
        <v>89</v>
      </c>
      <c r="B33" s="41" t="n">
        <f aca="false">COUNTIF('LinkedIn Content Calendar'!G:G,"Technical Deep Dive")</f>
        <v>1</v>
      </c>
      <c r="C33" s="41"/>
      <c r="D33" s="41"/>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2026-04-07T07:40:39Z</dcterms:created>
  <dc:creator>openpyxl</dc:creator>
  <dc:description/>
  <dc:language>en-US</dc:language>
  <cp:lastModifiedBy/>
  <dcterms:modified xsi:type="dcterms:W3CDTF">2026-04-07T07:40:39Z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