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shFlow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<sst xmlns="http://schemas.openxmlformats.org/spreadsheetml/2006/main" count="116" uniqueCount="110">
  <si>
    <t xml:space="preserve">SierraHomes AmericanDream - Assumptions</t>
  </si>
  <si>
    <t xml:space="preserve">Project Name</t>
  </si>
  <si>
    <t xml:space="preserve">SierraHomes AmericanDream</t>
  </si>
  <si>
    <t xml:space="preserve">Location</t>
  </si>
  <si>
    <t xml:space="preserve">Nyali, Mombasa, Kenya</t>
  </si>
  <si>
    <t xml:space="preserve">Total Units</t>
  </si>
  <si>
    <t xml:space="preserve">Unit Breakdown</t>
  </si>
  <si>
    <t xml:space="preserve">1BR Units</t>
  </si>
  <si>
    <t xml:space="preserve">2BR Units</t>
  </si>
  <si>
    <t xml:space="preserve">3BR Units</t>
  </si>
  <si>
    <t xml:space="preserve">Unit Pricing (KES)</t>
  </si>
  <si>
    <t xml:space="preserve">1BR Off-Plan</t>
  </si>
  <si>
    <t xml:space="preserve">1BR On-Market</t>
  </si>
  <si>
    <t xml:space="preserve">2BR Off-Plan</t>
  </si>
  <si>
    <t xml:space="preserve">2BR On-Market</t>
  </si>
  <si>
    <t xml:space="preserve">3BR Off-Plan</t>
  </si>
  <si>
    <t xml:space="preserve">3BR On-Market</t>
  </si>
  <si>
    <t xml:space="preserve">Developer Sales Units</t>
  </si>
  <si>
    <t xml:space="preserve">1BR Off-Plan Units</t>
  </si>
  <si>
    <t xml:space="preserve">2BR Off-Plan Units</t>
  </si>
  <si>
    <t xml:space="preserve">3BR Off-Plan Units</t>
  </si>
  <si>
    <t xml:space="preserve">3BR On-Market Units</t>
  </si>
  <si>
    <t xml:space="preserve">Project Timeline</t>
  </si>
  <si>
    <t xml:space="preserve">Construction Start</t>
  </si>
  <si>
    <t xml:space="preserve">Construction End</t>
  </si>
  <si>
    <t xml:space="preserve">Development Costs (KES)</t>
  </si>
  <si>
    <t xml:space="preserve">Hard Costs</t>
  </si>
  <si>
    <t xml:space="preserve">Soft Costs</t>
  </si>
  <si>
    <t xml:space="preserve">Total Dev Cost</t>
  </si>
  <si>
    <t xml:space="preserve">Equity Bridge</t>
  </si>
  <si>
    <t xml:space="preserve">Payment Milestones (%)</t>
  </si>
  <si>
    <t xml:space="preserve">Reservation</t>
  </si>
  <si>
    <t xml:space="preserve">SPA</t>
  </si>
  <si>
    <t xml:space="preserve">Foundation</t>
  </si>
  <si>
    <t xml:space="preserve">Floor3</t>
  </si>
  <si>
    <t xml:space="preserve">Floor7</t>
  </si>
  <si>
    <t xml:space="preserve">ToppedOut</t>
  </si>
  <si>
    <t xml:space="preserve">MEP</t>
  </si>
  <si>
    <t xml:space="preserve">Completion</t>
  </si>
  <si>
    <t xml:space="preserve">Month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</si>
  <si>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</si>
  <si>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</si>
  <si>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</si>
  <si>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</si>
  <si>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</si>
  <si>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</si>
  <si>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</si>
  <si>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</si>
  <si>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</si>
  <si>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</si>
  <si>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</si>
  <si>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</si>
  <si>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</si>
  <si>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</si>
  <si>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</si>
  <si>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</si>
  <si>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</si>
  <si>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</si>
  <si>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</si>
  <si>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</si>
  <si>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Mar 2028</t>
  </si>
  <si>
    <t xml:space="preserve">Apr 2028</t>
  </si>
  <si>
    <t xml:space="preserve">May 2028</t>
  </si>
  <si>
    <t xml:space="preserve">Jun 2028</t>
  </si>
  <si>
    <t xml:space="preserve">Jul 2028</t>
  </si>
  <si>
    <t xml:space="preserve">Aug 2028</t>
  </si>
  <si>
    <t xml:space="preserve">Sep 2028</t>
  </si>
  <si>
    <t xml:space="preserve">Oct 2028</t>
  </si>
  <si>
    <t xml:space="preserve">Nov 2028</t>
  </si>
  <si>
    <t xml:space="preserve">Dec 2028</t>
  </si>
  <si>
    <t xml:space="preserve">Jan 2029</t>
  </si>
  <si>
    <t xml:space="preserve">Feb 2029</t>
  </si>
  <si>
    <t xml:space="preserve">Mar 2029</t>
  </si>
  <si>
    <t xml:space="preserve">Apr 2029</t>
  </si>
  <si>
    <t xml:space="preserve">May 2029</t>
  </si>
  <si>
    <t xml:space="preserve">Jun 2029</t>
  </si>
  <si>
    <t xml:space="preserve">Jul 2029</t>
  </si>
  <si>
    <t xml:space="preserve">Aug 2029</t>
  </si>
  <si>
    <t xml:space="preserve">Sep 2029</t>
  </si>
  <si>
    <t xml:space="preserve">Oct 2029</t>
  </si>
  <si>
    <t xml:space="preserve">Nov 2029</t>
  </si>
  <si>
    <t xml:space="preserve">Dec 2029</t>
  </si>
  <si>
    <t xml:space="preserve">Jan 2030</t>
  </si>
  <si>
    <t xml:space="preserve">Feb 2030</t>
  </si>
  <si>
    <t xml:space="preserve">Month #</t>
  </si>
  <si>
    <t xml:space="preserve">--- INFLOWS ---</t>
  </si>
  <si>
    <t xml:space="preserve">Off-Plan Reservation</t>
  </si>
  <si>
    <t xml:space="preserve">Off-Plan SPA</t>
  </si>
  <si>
    <t xml:space="preserve">Off-Plan Foundation</t>
  </si>
  <si>
    <t xml:space="preserve">Off-Plan Floor3</t>
  </si>
  <si>
    <t xml:space="preserve">Off-Plan Floor7</t>
  </si>
  <si>
    <t xml:space="preserve">Off-Plan ToppedOut</t>
  </si>
  <si>
    <t xml:space="preserve">Off-Plan MEP</t>
  </si>
  <si>
    <t xml:space="preserve">Off-Plan Completion</t>
  </si>
  <si>
    <t xml:space="preserve">On-Market Completion</t>
  </si>
  <si>
    <t xml:space="preserve">TOTAL INFLOWS</t>
  </si>
  <si>
    <t xml:space="preserve">--- OUTFLOWS ---</t>
  </si>
  <si>
    <t xml:space="preserve">TOTAL OUTFLOWS</t>
  </si>
  <si>
    <t xml:space="preserve">NET CASH FLOW</t>
  </si>
  <si>
    <t xml:space="preserve">CUMULATIVE CASH FLOW</t>
  </si>
  <si>
    <t xml:space="preserve">Equity Drawn (Bridge)</t>
  </si>
  <si>
    <t xml:space="preserve">SierraHomes AmericanDream - Financial Summary</t>
  </si>
  <si>
    <t xml:space="preserve">Off-Plan Revenue</t>
  </si>
  <si>
    <t xml:space="preserve">Total Off-Plan Revenue</t>
  </si>
  <si>
    <t xml:space="preserve">On-Market Revenue</t>
  </si>
  <si>
    <t xml:space="preserve">TOTAL GROSS REVENUE</t>
  </si>
  <si>
    <t xml:space="preserve">Total Development Cost</t>
  </si>
  <si>
    <t xml:space="preserve">NET PROFIT</t>
  </si>
  <si>
    <t xml:space="preserve">ROI (%)</t>
  </si>
  <si>
    <t xml:space="preserve">Peak Equity Drawn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</si>
</sst>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/dd/yyyy"/>
    <numFmt numFmtId="167" formatCode="0%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  <c r="B3" s="3" t="s">
        <v>2</v>
      </c>
    </row>
    <row r="4" customFormat="false" ht="15" hidden="false" customHeight="true" outlineLevel="0" collapsed="false">
      <c r="A4" s="1" t="s">
        <v>3</v>
      </c>
      <c r="B4" s="3" t="s">
        <v>4</v>
      </c>
    </row>
    <row r="5" customFormat="false" ht="15" hidden="false" customHeight="true" outlineLevel="0" collapsed="false">
      <c r="A5" s="1" t="s">
        <v>5</v>
      </c>
      <c r="B5" s="3" t="n">
        <v>108</v>
      </c>
    </row>
    <row r="7" customFormat="false" ht="15" hidden="false" customHeight="true" outlineLevel="0" collapsed="false">
      <c r="A7" s="4" t="s">
        <v>6</v>
      </c>
    </row>
    <row r="8" customFormat="false" ht="15" hidden="false" customHeight="true" outlineLevel="0" collapsed="false">
      <c r="A8" s="1" t="s">
        <v>7</v>
      </c>
      <c r="B8" s="3" t="n">
        <v>24</v>
      </c>
    </row>
    <row r="9" customFormat="false" ht="15" hidden="false" customHeight="true" outlineLevel="0" collapsed="false">
      <c r="A9" s="1" t="s">
        <v>8</v>
      </c>
      <c r="B9" s="3" t="n">
        <v>36</v>
      </c>
    </row>
    <row r="10" customFormat="false" ht="15" hidden="false" customHeight="true" outlineLevel="0" collapsed="false">
      <c r="A10" s="1" t="s">
        <v>9</v>
      </c>
      <c r="B10" s="3" t="n">
        <v>48</v>
      </c>
    </row>
    <row r="12" customFormat="false" ht="15" hidden="false" customHeight="true" outlineLevel="0" collapsed="false">
      <c r="A12" s="4" t="s">
        <v>10</v>
      </c>
    </row>
    <row r="13" customFormat="false" ht="15" hidden="false" customHeight="true" outlineLevel="0" collapsed="false">
      <c r="A13" s="1" t="s">
        <v>11</v>
      </c>
      <c r="B13" s="5" t="n">
        <v>10000000</v>
      </c>
    </row>
    <row r="14" customFormat="false" ht="15" hidden="false" customHeight="true" outlineLevel="0" collapsed="false">
      <c r="A14" s="1" t="s">
        <v>12</v>
      </c>
      <c r="B14" s="5" t="n">
        <v>13000000</v>
      </c>
    </row>
    <row r="15" customFormat="false" ht="15" hidden="false" customHeight="true" outlineLevel="0" collapsed="false">
      <c r="A15" s="1" t="s">
        <v>13</v>
      </c>
      <c r="B15" s="5" t="n">
        <v>17000000</v>
      </c>
    </row>
    <row r="16" customFormat="false" ht="15" hidden="false" customHeight="true" outlineLevel="0" collapsed="false">
      <c r="A16" s="1" t="s">
        <v>14</v>
      </c>
      <c r="B16" s="5" t="n">
        <v>22000000</v>
      </c>
    </row>
    <row r="17" customFormat="false" ht="15" hidden="false" customHeight="true" outlineLevel="0" collapsed="false">
      <c r="A17" s="1" t="s">
        <v>15</v>
      </c>
      <c r="B17" s="5" t="n">
        <v>23000000</v>
      </c>
    </row>
    <row r="18" customFormat="false" ht="15" hidden="false" customHeight="true" outlineLevel="0" collapsed="false">
      <c r="A18" s="1" t="s">
        <v>16</v>
      </c>
      <c r="B18" s="5" t="n">
        <v>30000000</v>
      </c>
    </row>
    <row r="20" customFormat="false" ht="15" hidden="false" customHeight="true" outlineLevel="0" collapsed="false">
      <c r="A20" s="4" t="s">
        <v>17</v>
      </c>
    </row>
    <row r="21" customFormat="false" ht="15" hidden="false" customHeight="true" outlineLevel="0" collapsed="false">
      <c r="A21" s="1" t="s">
        <v>18</v>
      </c>
      <c r="B21" s="3" t="n">
        <v>17</v>
      </c>
    </row>
    <row r="22" customFormat="false" ht="15" hidden="false" customHeight="true" outlineLevel="0" collapsed="false">
      <c r="A22" s="1" t="s">
        <v>19</v>
      </c>
      <c r="B22" s="3" t="n">
        <v>28</v>
      </c>
    </row>
    <row r="23" customFormat="false" ht="15" hidden="false" customHeight="true" outlineLevel="0" collapsed="false">
      <c r="A23" s="1" t="s">
        <v>20</v>
      </c>
      <c r="B23" s="3" t="n">
        <v>18</v>
      </c>
    </row>
    <row r="24" customFormat="false" ht="15" hidden="false" customHeight="true" outlineLevel="0" collapsed="false">
      <c r="A24" s="1" t="s">
        <v>21</v>
      </c>
      <c r="B24" s="3" t="n">
        <v>22</v>
      </c>
    </row>
    <row r="26" customFormat="false" ht="15" hidden="false" customHeight="true" outlineLevel="0" collapsed="false">
      <c r="A26" s="4" t="s">
        <v>22</v>
      </c>
    </row>
    <row r="27" customFormat="false" ht="15" hidden="false" customHeight="true" outlineLevel="0" collapsed="false">
      <c r="A27" s="1" t="s">
        <v>23</v>
      </c>
      <c r="B27" s="6" t="n">
        <v>46204</v>
      </c>
    </row>
    <row r="28" customFormat="false" ht="15" hidden="false" customHeight="true" outlineLevel="0" collapsed="false">
      <c r="A28" s="1" t="s">
        <v>24</v>
      </c>
      <c r="B28" s="6" t="n">
        <v>47361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1" t="s">
        <v>26</v>
      </c>
      <c r="B31" s="5" t="n">
        <v>792000000</v>
      </c>
    </row>
    <row r="32" customFormat="false" ht="15" hidden="false" customHeight="true" outlineLevel="0" collapsed="false">
      <c r="A32" s="1" t="s">
        <v>27</v>
      </c>
      <c r="B32" s="5" t="n">
        <v>117961921</v>
      </c>
    </row>
    <row r="33" customFormat="false" ht="15" hidden="false" customHeight="true" outlineLevel="0" collapsed="false">
      <c r="A33" s="1" t="s">
        <v>28</v>
      </c>
      <c r="B33" s="5" t="n">
        <v>909961921</v>
      </c>
    </row>
    <row r="35" customFormat="false" ht="15" hidden="false" customHeight="true" outlineLevel="0" collapsed="false">
      <c r="A35" s="1" t="s">
        <v>29</v>
      </c>
      <c r="B35" s="7" t="n">
        <v>120000000</v>
      </c>
    </row>
    <row r="37" customFormat="false" ht="15" hidden="false" customHeight="true" outlineLevel="0" collapsed="false">
      <c r="A37" s="4" t="s">
        <v>30</v>
      </c>
    </row>
    <row r="38" customFormat="false" ht="15" hidden="false" customHeight="true" outlineLevel="0" collapsed="false">
      <c r="A38" s="1" t="s">
        <v>31</v>
      </c>
      <c r="B38" s="8" t="n">
        <v>0.1</v>
      </c>
    </row>
    <row r="39" customFormat="false" ht="15" hidden="false" customHeight="true" outlineLevel="0" collapsed="false">
      <c r="A39" s="1" t="s">
        <v>32</v>
      </c>
      <c r="B39" s="8" t="n">
        <v>0.2</v>
      </c>
    </row>
    <row r="40" customFormat="false" ht="15" hidden="false" customHeight="true" outlineLevel="0" collapsed="false">
      <c r="A40" s="1" t="s">
        <v>33</v>
      </c>
      <c r="B40" s="8" t="n">
        <v>0.15</v>
      </c>
    </row>
    <row r="41" customFormat="false" ht="15" hidden="false" customHeight="true" outlineLevel="0" collapsed="false">
      <c r="A41" s="1" t="s">
        <v>34</v>
      </c>
      <c r="B41" s="8" t="n">
        <v>0.1</v>
      </c>
    </row>
    <row r="42" customFormat="false" ht="15" hidden="false" customHeight="true" outlineLevel="0" collapsed="false">
      <c r="A42" s="1" t="s">
        <v>35</v>
      </c>
      <c r="B42" s="8" t="n">
        <v>0.1</v>
      </c>
    </row>
    <row r="43" customFormat="false" ht="15" hidden="false" customHeight="true" outlineLevel="0" collapsed="false">
      <c r="A43" s="1" t="s">
        <v>36</v>
      </c>
      <c r="B43" s="8" t="n">
        <v>0.1</v>
      </c>
    </row>
    <row r="44" customFormat="false" ht="15" hidden="false" customHeight="true" outlineLevel="0" collapsed="false">
      <c r="A44" s="1" t="s">
        <v>37</v>
      </c>
      <c r="B44" s="8" t="n">
        <v>0.15</v>
      </c>
    </row>
    <row r="45" customFormat="false" ht="15" hidden="false" customHeight="true" outlineLevel="0" collapsed="false">
      <c r="A45" s="1" t="s">
        <v>38</v>
      </c>
      <c r="B45" s="8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45" min="2" style="1" width="13"/>
  </cols>
  <sheetData>
    <row r="1" customFormat="false" ht="15" hidden="false" customHeight="true" outlineLevel="0" collapsed="false">
      <c r="A1" s="9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  <c r="T1" s="10" t="s">
        <v>58</v>
      </c>
      <c r="U1" s="10" t="s">
        <v>59</v>
      </c>
      <c r="V1" s="10" t="s">
        <v>60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0" t="s">
        <v>68</v>
      </c>
      <c r="AE1" s="10" t="s">
        <v>69</v>
      </c>
      <c r="AF1" s="10" t="s">
        <v>70</v>
      </c>
      <c r="AG1" s="10" t="s">
        <v>71</v>
      </c>
      <c r="AH1" s="10" t="s">
        <v>72</v>
      </c>
      <c r="AI1" s="10" t="s">
        <v>73</v>
      </c>
      <c r="AJ1" s="10" t="s">
        <v>74</v>
      </c>
      <c r="AK1" s="10" t="s">
        <v>75</v>
      </c>
      <c r="AL1" s="10" t="s">
        <v>76</v>
      </c>
      <c r="AM1" s="10" t="s">
        <v>77</v>
      </c>
      <c r="AN1" s="10" t="s">
        <v>78</v>
      </c>
      <c r="AO1" s="10" t="s">
        <v>79</v>
      </c>
      <c r="AP1" s="10" t="s">
        <v>80</v>
      </c>
      <c r="AQ1" s="10" t="s">
        <v>81</v>
      </c>
      <c r="AR1" s="10" t="s">
        <v>82</v>
      </c>
      <c r="AS1" s="10" t="s">
        <v>83</v>
      </c>
    </row>
    <row r="2" customFormat="false" ht="15" hidden="false" customHeight="true" outlineLevel="0" collapsed="false">
      <c r="A2" s="1" t="s">
        <v>84</v>
      </c>
      <c r="B2" s="11" t="n">
        <v>1</v>
      </c>
      <c r="C2" s="11" t="n">
        <v>2</v>
      </c>
      <c r="D2" s="11" t="n">
        <v>3</v>
      </c>
      <c r="E2" s="11" t="n">
        <v>4</v>
      </c>
      <c r="F2" s="11" t="n">
        <v>5</v>
      </c>
      <c r="G2" s="11" t="n">
        <v>6</v>
      </c>
      <c r="H2" s="11" t="n">
        <v>7</v>
      </c>
      <c r="I2" s="11" t="n">
        <v>8</v>
      </c>
      <c r="J2" s="11" t="n">
        <v>9</v>
      </c>
      <c r="K2" s="11" t="n">
        <v>10</v>
      </c>
      <c r="L2" s="11" t="n">
        <v>11</v>
      </c>
      <c r="M2" s="11" t="n">
        <v>12</v>
      </c>
      <c r="N2" s="11" t="n">
        <v>13</v>
      </c>
      <c r="O2" s="11" t="n">
        <v>14</v>
      </c>
      <c r="P2" s="11" t="n">
        <v>15</v>
      </c>
      <c r="Q2" s="11" t="n">
        <v>16</v>
      </c>
      <c r="R2" s="11" t="n">
        <v>17</v>
      </c>
      <c r="S2" s="11" t="n">
        <v>18</v>
      </c>
      <c r="T2" s="11" t="n">
        <v>19</v>
      </c>
      <c r="U2" s="11" t="n">
        <v>20</v>
      </c>
      <c r="V2" s="11" t="n">
        <v>21</v>
      </c>
      <c r="W2" s="11" t="n">
        <v>22</v>
      </c>
      <c r="X2" s="11" t="n">
        <v>23</v>
      </c>
      <c r="Y2" s="11" t="n">
        <v>24</v>
      </c>
      <c r="Z2" s="11" t="n">
        <v>25</v>
      </c>
      <c r="AA2" s="11" t="n">
        <v>26</v>
      </c>
      <c r="AB2" s="11" t="n">
        <v>27</v>
      </c>
      <c r="AC2" s="11" t="n">
        <v>28</v>
      </c>
      <c r="AD2" s="11" t="n">
        <v>29</v>
      </c>
      <c r="AE2" s="11" t="n">
        <v>30</v>
      </c>
      <c r="AF2" s="11" t="n">
        <v>31</v>
      </c>
      <c r="AG2" s="11" t="n">
        <v>32</v>
      </c>
      <c r="AH2" s="11" t="n">
        <v>33</v>
      </c>
      <c r="AI2" s="11" t="n">
        <v>34</v>
      </c>
      <c r="AJ2" s="11" t="n">
        <v>35</v>
      </c>
      <c r="AK2" s="11" t="n">
        <v>36</v>
      </c>
      <c r="AL2" s="11" t="n">
        <v>37</v>
      </c>
      <c r="AM2" s="11" t="n">
        <v>38</v>
      </c>
      <c r="AN2" s="11" t="n">
        <v>39</v>
      </c>
      <c r="AO2" s="11" t="n">
        <v>40</v>
      </c>
      <c r="AP2" s="11" t="n">
        <v>41</v>
      </c>
      <c r="AQ2" s="11" t="n">
        <v>42</v>
      </c>
      <c r="AR2" s="11" t="n">
        <v>43</v>
      </c>
      <c r="AS2" s="11" t="n">
        <v>44</v>
      </c>
    </row>
    <row r="3" customFormat="false" ht="15" hidden="false" customHeight="true" outlineLevel="0" collapsed="false">
      <c r="A3" s="4" t="s">
        <v>85</v>
      </c>
    </row>
    <row r="4" customFormat="false" ht="15" hidden="false" customHeight="true" outlineLevel="0" collapsed="false">
      <c r="A4" s="1" t="s">
        <v>86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customFormat="false" ht="15" hidden="false" customHeight="true" outlineLevel="0" collapsed="false">
      <c r="A5" s="1" t="s">
        <v>87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customFormat="false" ht="15" hidden="false" customHeight="true" outlineLevel="0" collapsed="false">
      <c r="A6" s="1" t="s">
        <v>88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customFormat="false" ht="15" hidden="false" customHeight="true" outlineLevel="0" collapsed="false">
      <c r="A7" s="1" t="s">
        <v>89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customFormat="false" ht="15" hidden="false" customHeight="true" outlineLevel="0" collapsed="false">
      <c r="A8" s="1" t="s">
        <v>90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customFormat="false" ht="15" hidden="false" customHeight="true" outlineLevel="0" collapsed="false">
      <c r="A9" s="1" t="s">
        <v>91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customFormat="false" ht="15" hidden="false" customHeight="true" outlineLevel="0" collapsed="false">
      <c r="A10" s="1" t="s">
        <v>92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customFormat="false" ht="15" hidden="false" customHeight="true" outlineLevel="0" collapsed="false">
      <c r="A11" s="1" t="s">
        <v>93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customFormat="false" ht="15" hidden="false" customHeight="true" outlineLevel="0" collapsed="false">
      <c r="A12" s="1" t="s">
        <v>94</v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2" t="n">
        <f aca="false">22*30000000/6</f>
        <v>110000000</v>
      </c>
      <c r="AM12" s="12" t="n">
        <f aca="false">22*30000000/6</f>
        <v>110000000</v>
      </c>
      <c r="AN12" s="12" t="n">
        <f aca="false">22*30000000/6</f>
        <v>110000000</v>
      </c>
      <c r="AO12" s="12" t="n">
        <f aca="false">22*30000000/6</f>
        <v>110000000</v>
      </c>
      <c r="AP12" s="12" t="n">
        <f aca="false">22*30000000/6</f>
        <v>110000000</v>
      </c>
      <c r="AQ12" s="12" t="n">
        <f aca="false">22*30000000/6</f>
        <v>110000000</v>
      </c>
      <c r="AR12" s="12" t="n">
        <f aca="false">22*30000000/6</f>
        <v>110000000</v>
      </c>
      <c r="AS12" s="12" t="n">
        <f aca="false">22*30000000/6</f>
        <v>110000000</v>
      </c>
    </row>
    <row r="14" customFormat="false" ht="15" hidden="false" customHeight="true" outlineLevel="0" collapsed="false">
      <c r="A14" s="4" t="s">
        <v>95</v>
      </c>
      <c r="B14" s="12" t="n">
        <f aca="false">SUM(B4:B12)</f>
        <v>0</v>
      </c>
      <c r="C14" s="12" t="n">
        <f aca="false">SUM(C4:C12)</f>
        <v>0</v>
      </c>
      <c r="D14" s="12" t="n">
        <f aca="false">SUM(D4:D12)</f>
        <v>0</v>
      </c>
      <c r="E14" s="12" t="n">
        <f aca="false">SUM(E4:E12)</f>
        <v>0</v>
      </c>
      <c r="F14" s="12" t="n">
        <f aca="false">SUM(F4:F12)</f>
        <v>0</v>
      </c>
      <c r="G14" s="12" t="n">
        <f aca="false">SUM(G4:G12)</f>
        <v>0</v>
      </c>
      <c r="H14" s="12" t="n">
        <f aca="false">SUM(H4:H12)</f>
        <v>0</v>
      </c>
      <c r="I14" s="12" t="n">
        <f aca="false">SUM(I4:I12)</f>
        <v>0</v>
      </c>
      <c r="J14" s="12" t="n">
        <f aca="false">SUM(J4:J12)</f>
        <v>0</v>
      </c>
      <c r="K14" s="12" t="n">
        <f aca="false">SUM(K4:K12)</f>
        <v>0</v>
      </c>
      <c r="L14" s="12" t="n">
        <f aca="false">SUM(L4:L12)</f>
        <v>0</v>
      </c>
      <c r="M14" s="12" t="n">
        <f aca="false">SUM(M4:M12)</f>
        <v>0</v>
      </c>
      <c r="N14" s="12" t="n">
        <f aca="false">SUM(N4:N12)</f>
        <v>0</v>
      </c>
      <c r="O14" s="12" t="n">
        <f aca="false">SUM(O4:O12)</f>
        <v>0</v>
      </c>
      <c r="P14" s="12" t="n">
        <f aca="false">SUM(P4:P12)</f>
        <v>0</v>
      </c>
      <c r="Q14" s="12" t="n">
        <f aca="false">SUM(Q4:Q12)</f>
        <v>0</v>
      </c>
      <c r="R14" s="12" t="n">
        <f aca="false">SUM(R4:R12)</f>
        <v>0</v>
      </c>
      <c r="S14" s="12" t="n">
        <f aca="false">SUM(S4:S12)</f>
        <v>0</v>
      </c>
      <c r="T14" s="12" t="n">
        <f aca="false">SUM(T4:T12)</f>
        <v>0</v>
      </c>
      <c r="U14" s="12" t="n">
        <f aca="false">SUM(U4:U12)</f>
        <v>0</v>
      </c>
      <c r="V14" s="12" t="n">
        <f aca="false">SUM(V4:V12)</f>
        <v>0</v>
      </c>
      <c r="W14" s="12" t="n">
        <f aca="false">SUM(W4:W12)</f>
        <v>0</v>
      </c>
      <c r="X14" s="12" t="n">
        <f aca="false">SUM(X4:X12)</f>
        <v>0</v>
      </c>
      <c r="Y14" s="12" t="n">
        <f aca="false">SUM(Y4:Y12)</f>
        <v>0</v>
      </c>
      <c r="Z14" s="12" t="n">
        <f aca="false">SUM(Z4:Z12)</f>
        <v>0</v>
      </c>
      <c r="AA14" s="12" t="n">
        <f aca="false">SUM(AA4:AA12)</f>
        <v>0</v>
      </c>
      <c r="AB14" s="12" t="n">
        <f aca="false">SUM(AB4:AB12)</f>
        <v>0</v>
      </c>
      <c r="AC14" s="12" t="n">
        <f aca="false">SUM(AC4:AC12)</f>
        <v>0</v>
      </c>
      <c r="AD14" s="12" t="n">
        <f aca="false">SUM(AD4:AD12)</f>
        <v>0</v>
      </c>
      <c r="AE14" s="12" t="n">
        <f aca="false">SUM(AE4:AE12)</f>
        <v>0</v>
      </c>
      <c r="AF14" s="12" t="n">
        <f aca="false">SUM(AF4:AF12)</f>
        <v>0</v>
      </c>
      <c r="AG14" s="12" t="n">
        <f aca="false">SUM(AG4:AG12)</f>
        <v>0</v>
      </c>
      <c r="AH14" s="12" t="n">
        <f aca="false">SUM(AH4:AH12)</f>
        <v>0</v>
      </c>
      <c r="AI14" s="12" t="n">
        <f aca="false">SUM(AI4:AI12)</f>
        <v>0</v>
      </c>
      <c r="AJ14" s="12" t="n">
        <f aca="false">SUM(AJ4:AJ12)</f>
        <v>0</v>
      </c>
      <c r="AK14" s="12" t="n">
        <f aca="false">SUM(AK4:AK12)</f>
        <v>0</v>
      </c>
      <c r="AL14" s="12" t="n">
        <f aca="false">SUM(AL4:AL12)</f>
        <v>110000000</v>
      </c>
      <c r="AM14" s="12" t="n">
        <f aca="false">SUM(AM4:AM12)</f>
        <v>110000000</v>
      </c>
      <c r="AN14" s="12" t="n">
        <f aca="false">SUM(AN4:AN12)</f>
        <v>110000000</v>
      </c>
      <c r="AO14" s="12" t="n">
        <f aca="false">SUM(AO4:AO12)</f>
        <v>110000000</v>
      </c>
      <c r="AP14" s="12" t="n">
        <f aca="false">SUM(AP4:AP12)</f>
        <v>110000000</v>
      </c>
      <c r="AQ14" s="12" t="n">
        <f aca="false">SUM(AQ4:AQ12)</f>
        <v>110000000</v>
      </c>
      <c r="AR14" s="12" t="n">
        <f aca="false">SUM(AR4:AR12)</f>
        <v>110000000</v>
      </c>
      <c r="AS14" s="12" t="n">
        <f aca="false">SUM(AS4:AS12)</f>
        <v>110000000</v>
      </c>
    </row>
    <row r="16" customFormat="false" ht="15" hidden="false" customHeight="true" outlineLevel="0" collapsed="false">
      <c r="A16" s="4" t="s">
        <v>96</v>
      </c>
    </row>
    <row r="17" customFormat="false" ht="15" hidden="false" customHeight="true" outlineLevel="0" collapsed="false">
      <c r="A17" s="1" t="s">
        <v>26</v>
      </c>
      <c r="B17" s="12" t="n">
        <f aca="false">792000000*0.025</f>
        <v>19800000</v>
      </c>
      <c r="C17" s="12" t="n">
        <f aca="false">792000000*0.025</f>
        <v>19800000</v>
      </c>
      <c r="D17" s="12" t="n">
        <f aca="false">792000000*0.025</f>
        <v>19800000</v>
      </c>
      <c r="E17" s="12" t="n">
        <f aca="false">792000000*0.025</f>
        <v>19800000</v>
      </c>
      <c r="F17" s="12" t="n">
        <f aca="false">792000000*0.025</f>
        <v>19800000</v>
      </c>
      <c r="G17" s="12" t="n">
        <f aca="false">792000000*0.025</f>
        <v>19800000</v>
      </c>
      <c r="H17" s="12" t="n">
        <f aca="false">792000000*0.025</f>
        <v>19800000</v>
      </c>
      <c r="I17" s="12" t="n">
        <f aca="false">792000000*0.025</f>
        <v>19800000</v>
      </c>
      <c r="J17" s="12" t="n">
        <f aca="false">792000000*0.025</f>
        <v>19800000</v>
      </c>
      <c r="K17" s="12" t="n">
        <f aca="false">792000000*0.025</f>
        <v>19800000</v>
      </c>
      <c r="L17" s="12" t="n">
        <f aca="false">792000000*0.0288461538461538</f>
        <v>22846153.8461538</v>
      </c>
      <c r="M17" s="12" t="n">
        <f aca="false">792000000*0.0288461538461538</f>
        <v>22846153.8461538</v>
      </c>
      <c r="N17" s="12" t="n">
        <f aca="false">792000000*0.0288461538461538</f>
        <v>22846153.8461538</v>
      </c>
      <c r="O17" s="12" t="n">
        <f aca="false">792000000*0.0288461538461538</f>
        <v>22846153.8461538</v>
      </c>
      <c r="P17" s="12" t="n">
        <f aca="false">792000000*0.0288461538461538</f>
        <v>22846153.8461538</v>
      </c>
      <c r="Q17" s="12" t="n">
        <f aca="false">792000000*0.0288461538461538</f>
        <v>22846153.8461538</v>
      </c>
      <c r="R17" s="12" t="n">
        <f aca="false">792000000*0.0288461538461538</f>
        <v>22846153.8461538</v>
      </c>
      <c r="S17" s="12" t="n">
        <f aca="false">792000000*0.0288461538461538</f>
        <v>22846153.8461538</v>
      </c>
      <c r="T17" s="12" t="n">
        <f aca="false">792000000*0.0288461538461538</f>
        <v>22846153.8461538</v>
      </c>
      <c r="U17" s="12" t="n">
        <f aca="false">792000000*0.0288461538461538</f>
        <v>22846153.8461538</v>
      </c>
      <c r="V17" s="12" t="n">
        <f aca="false">792000000*0.0288461538461538</f>
        <v>22846153.8461538</v>
      </c>
      <c r="W17" s="12" t="n">
        <f aca="false">792000000*0.0288461538461538</f>
        <v>22846153.8461538</v>
      </c>
      <c r="X17" s="12" t="n">
        <f aca="false">792000000*0.0288461538461538</f>
        <v>22846153.8461538</v>
      </c>
      <c r="Y17" s="12" t="n">
        <f aca="false">792000000*0.0288461538461538</f>
        <v>22846153.8461538</v>
      </c>
      <c r="Z17" s="12" t="n">
        <f aca="false">792000000*0.0288461538461538</f>
        <v>22846153.8461538</v>
      </c>
      <c r="AA17" s="12" t="n">
        <f aca="false">792000000*0.0288461538461538</f>
        <v>22846153.8461538</v>
      </c>
      <c r="AB17" s="12" t="n">
        <f aca="false">792000000*0.0288461538461538</f>
        <v>22846153.8461538</v>
      </c>
      <c r="AC17" s="12" t="n">
        <f aca="false">792000000*0.0288461538461538</f>
        <v>22846153.8461538</v>
      </c>
      <c r="AD17" s="12" t="n">
        <f aca="false">792000000*0.0288461538461538</f>
        <v>22846153.8461538</v>
      </c>
      <c r="AE17" s="12" t="n">
        <f aca="false">792000000*0.0288461538461538</f>
        <v>22846153.8461538</v>
      </c>
      <c r="AF17" s="12" t="n">
        <f aca="false">792000000*0.0288461538461538</f>
        <v>22846153.8461538</v>
      </c>
      <c r="AG17" s="12" t="n">
        <f aca="false">792000000*0.0288461538461538</f>
        <v>22846153.8461538</v>
      </c>
      <c r="AH17" s="12" t="n">
        <f aca="false">792000000*0.0288461538461538</f>
        <v>22846153.8461538</v>
      </c>
      <c r="AI17" s="12" t="n">
        <f aca="false">792000000*0.0288461538461538</f>
        <v>22846153.8461538</v>
      </c>
      <c r="AJ17" s="12" t="n">
        <f aca="false">792000000*0.0288461538461538</f>
        <v>22846153.8461538</v>
      </c>
      <c r="AK17" s="12" t="n">
        <f aca="false">792000000*0.0288461538461538</f>
        <v>22846153.8461538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</row>
    <row r="18" customFormat="false" ht="15" hidden="false" customHeight="true" outlineLevel="0" collapsed="false">
      <c r="A18" s="1" t="s">
        <v>27</v>
      </c>
      <c r="B18" s="12" t="n">
        <f aca="false">117961921/6</f>
        <v>19660320.1666667</v>
      </c>
      <c r="C18" s="12" t="n">
        <f aca="false">117961921/6</f>
        <v>19660320.1666667</v>
      </c>
      <c r="D18" s="12" t="n">
        <f aca="false">117961921/6</f>
        <v>19660320.1666667</v>
      </c>
      <c r="E18" s="12" t="n">
        <f aca="false">117961921/6</f>
        <v>19660320.1666667</v>
      </c>
      <c r="F18" s="12" t="n">
        <f aca="false">117961921/6</f>
        <v>19660320.1666667</v>
      </c>
      <c r="G18" s="12" t="n">
        <f aca="false">117961921/6</f>
        <v>19660320.1666667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</row>
    <row r="20" customFormat="false" ht="15" hidden="false" customHeight="true" outlineLevel="0" collapsed="false">
      <c r="A20" s="4" t="s">
        <v>97</v>
      </c>
      <c r="B20" s="12" t="n">
        <f aca="false">SUM(B17:B18)</f>
        <v>39460320.1666667</v>
      </c>
      <c r="C20" s="12" t="n">
        <f aca="false">SUM(C17:C18)</f>
        <v>39460320.1666667</v>
      </c>
      <c r="D20" s="12" t="n">
        <f aca="false">SUM(D17:D18)</f>
        <v>39460320.1666667</v>
      </c>
      <c r="E20" s="12" t="n">
        <f aca="false">SUM(E17:E18)</f>
        <v>39460320.1666667</v>
      </c>
      <c r="F20" s="12" t="n">
        <f aca="false">SUM(F17:F18)</f>
        <v>39460320.1666667</v>
      </c>
      <c r="G20" s="12" t="n">
        <f aca="false">SUM(G17:G18)</f>
        <v>39460320.1666667</v>
      </c>
      <c r="H20" s="12" t="n">
        <f aca="false">SUM(H17:H18)</f>
        <v>19800000</v>
      </c>
      <c r="I20" s="12" t="n">
        <f aca="false">SUM(I17:I18)</f>
        <v>19800000</v>
      </c>
      <c r="J20" s="12" t="n">
        <f aca="false">SUM(J17:J18)</f>
        <v>19800000</v>
      </c>
      <c r="K20" s="12" t="n">
        <f aca="false">SUM(K17:K18)</f>
        <v>19800000</v>
      </c>
      <c r="L20" s="12" t="n">
        <f aca="false">SUM(L17:L18)</f>
        <v>22846153.8461538</v>
      </c>
      <c r="M20" s="12" t="n">
        <f aca="false">SUM(M17:M18)</f>
        <v>22846153.8461538</v>
      </c>
      <c r="N20" s="12" t="n">
        <f aca="false">SUM(N17:N18)</f>
        <v>22846153.8461538</v>
      </c>
      <c r="O20" s="12" t="n">
        <f aca="false">SUM(O17:O18)</f>
        <v>22846153.8461538</v>
      </c>
      <c r="P20" s="12" t="n">
        <f aca="false">SUM(P17:P18)</f>
        <v>22846153.8461538</v>
      </c>
      <c r="Q20" s="12" t="n">
        <f aca="false">SUM(Q17:Q18)</f>
        <v>22846153.8461538</v>
      </c>
      <c r="R20" s="12" t="n">
        <f aca="false">SUM(R17:R18)</f>
        <v>22846153.8461538</v>
      </c>
      <c r="S20" s="12" t="n">
        <f aca="false">SUM(S17:S18)</f>
        <v>22846153.8461538</v>
      </c>
      <c r="T20" s="12" t="n">
        <f aca="false">SUM(T17:T18)</f>
        <v>22846153.8461538</v>
      </c>
      <c r="U20" s="12" t="n">
        <f aca="false">SUM(U17:U18)</f>
        <v>22846153.8461538</v>
      </c>
      <c r="V20" s="12" t="n">
        <f aca="false">SUM(V17:V18)</f>
        <v>22846153.8461538</v>
      </c>
      <c r="W20" s="12" t="n">
        <f aca="false">SUM(W17:W18)</f>
        <v>22846153.8461538</v>
      </c>
      <c r="X20" s="12" t="n">
        <f aca="false">SUM(X17:X18)</f>
        <v>22846153.8461538</v>
      </c>
      <c r="Y20" s="12" t="n">
        <f aca="false">SUM(Y17:Y18)</f>
        <v>22846153.8461538</v>
      </c>
      <c r="Z20" s="12" t="n">
        <f aca="false">SUM(Z17:Z18)</f>
        <v>22846153.8461538</v>
      </c>
      <c r="AA20" s="12" t="n">
        <f aca="false">SUM(AA17:AA18)</f>
        <v>22846153.8461538</v>
      </c>
      <c r="AB20" s="12" t="n">
        <f aca="false">SUM(AB17:AB18)</f>
        <v>22846153.8461538</v>
      </c>
      <c r="AC20" s="12" t="n">
        <f aca="false">SUM(AC17:AC18)</f>
        <v>22846153.8461538</v>
      </c>
      <c r="AD20" s="12" t="n">
        <f aca="false">SUM(AD17:AD18)</f>
        <v>22846153.8461538</v>
      </c>
      <c r="AE20" s="12" t="n">
        <f aca="false">SUM(AE17:AE18)</f>
        <v>22846153.8461538</v>
      </c>
      <c r="AF20" s="12" t="n">
        <f aca="false">SUM(AF17:AF18)</f>
        <v>22846153.8461538</v>
      </c>
      <c r="AG20" s="12" t="n">
        <f aca="false">SUM(AG17:AG18)</f>
        <v>22846153.8461538</v>
      </c>
      <c r="AH20" s="12" t="n">
        <f aca="false">SUM(AH17:AH18)</f>
        <v>22846153.8461538</v>
      </c>
      <c r="AI20" s="12" t="n">
        <f aca="false">SUM(AI17:AI18)</f>
        <v>22846153.8461538</v>
      </c>
      <c r="AJ20" s="12" t="n">
        <f aca="false">SUM(AJ17:AJ18)</f>
        <v>22846153.8461538</v>
      </c>
      <c r="AK20" s="12" t="n">
        <f aca="false">SUM(AK17:AK18)</f>
        <v>22846153.8461538</v>
      </c>
      <c r="AL20" s="12" t="n">
        <f aca="false">SUM(AL17:AL18)</f>
        <v>0</v>
      </c>
      <c r="AM20" s="12" t="n">
        <f aca="false">SUM(AM17:AM18)</f>
        <v>0</v>
      </c>
      <c r="AN20" s="12" t="n">
        <f aca="false">SUM(AN17:AN18)</f>
        <v>0</v>
      </c>
      <c r="AO20" s="12" t="n">
        <f aca="false">SUM(AO17:AO18)</f>
        <v>0</v>
      </c>
      <c r="AP20" s="12" t="n">
        <f aca="false">SUM(AP17:AP18)</f>
        <v>0</v>
      </c>
      <c r="AQ20" s="12" t="n">
        <f aca="false">SUM(AQ17:AQ18)</f>
        <v>0</v>
      </c>
      <c r="AR20" s="12" t="n">
        <f aca="false">SUM(AR17:AR18)</f>
        <v>0</v>
      </c>
      <c r="AS20" s="12" t="n">
        <f aca="false">SUM(AS17:AS18)</f>
        <v>0</v>
      </c>
    </row>
    <row r="22" customFormat="false" ht="15" hidden="false" customHeight="true" outlineLevel="0" collapsed="false">
      <c r="A22" s="4" t="s">
        <v>98</v>
      </c>
      <c r="B22" s="12" t="n">
        <f aca="false">B14-B20</f>
        <v>-39460320.1666667</v>
      </c>
      <c r="C22" s="12" t="n">
        <f aca="false">C14-C20</f>
        <v>-39460320.1666667</v>
      </c>
      <c r="D22" s="12" t="n">
        <f aca="false">D14-D20</f>
        <v>-39460320.1666667</v>
      </c>
      <c r="E22" s="12" t="n">
        <f aca="false">E14-E20</f>
        <v>-39460320.1666667</v>
      </c>
      <c r="F22" s="12" t="n">
        <f aca="false">F14-F20</f>
        <v>-39460320.1666667</v>
      </c>
      <c r="G22" s="12" t="n">
        <f aca="false">G14-G20</f>
        <v>-39460320.1666667</v>
      </c>
      <c r="H22" s="12" t="n">
        <f aca="false">H14-H20</f>
        <v>-19800000</v>
      </c>
      <c r="I22" s="12" t="n">
        <f aca="false">I14-I20</f>
        <v>-19800000</v>
      </c>
      <c r="J22" s="12" t="n">
        <f aca="false">J14-J20</f>
        <v>-19800000</v>
      </c>
      <c r="K22" s="12" t="n">
        <f aca="false">K14-K20</f>
        <v>-19800000</v>
      </c>
      <c r="L22" s="12" t="n">
        <f aca="false">L14-L20</f>
        <v>-22846153.8461538</v>
      </c>
      <c r="M22" s="12" t="n">
        <f aca="false">M14-M20</f>
        <v>-22846153.8461538</v>
      </c>
      <c r="N22" s="12" t="n">
        <f aca="false">N14-N20</f>
        <v>-22846153.8461538</v>
      </c>
      <c r="O22" s="12" t="n">
        <f aca="false">O14-O20</f>
        <v>-22846153.8461538</v>
      </c>
      <c r="P22" s="12" t="n">
        <f aca="false">P14-P20</f>
        <v>-22846153.8461538</v>
      </c>
      <c r="Q22" s="12" t="n">
        <f aca="false">Q14-Q20</f>
        <v>-22846153.8461538</v>
      </c>
      <c r="R22" s="12" t="n">
        <f aca="false">R14-R20</f>
        <v>-22846153.8461538</v>
      </c>
      <c r="S22" s="12" t="n">
        <f aca="false">S14-S20</f>
        <v>-22846153.8461538</v>
      </c>
      <c r="T22" s="12" t="n">
        <f aca="false">T14-T20</f>
        <v>-22846153.8461538</v>
      </c>
      <c r="U22" s="12" t="n">
        <f aca="false">U14-U20</f>
        <v>-22846153.8461538</v>
      </c>
      <c r="V22" s="12" t="n">
        <f aca="false">V14-V20</f>
        <v>-22846153.8461538</v>
      </c>
      <c r="W22" s="12" t="n">
        <f aca="false">W14-W20</f>
        <v>-22846153.8461538</v>
      </c>
      <c r="X22" s="12" t="n">
        <f aca="false">X14-X20</f>
        <v>-22846153.8461538</v>
      </c>
      <c r="Y22" s="12" t="n">
        <f aca="false">Y14-Y20</f>
        <v>-22846153.8461538</v>
      </c>
      <c r="Z22" s="12" t="n">
        <f aca="false">Z14-Z20</f>
        <v>-22846153.8461538</v>
      </c>
      <c r="AA22" s="12" t="n">
        <f aca="false">AA14-AA20</f>
        <v>-22846153.8461538</v>
      </c>
      <c r="AB22" s="12" t="n">
        <f aca="false">AB14-AB20</f>
        <v>-22846153.8461538</v>
      </c>
      <c r="AC22" s="12" t="n">
        <f aca="false">AC14-AC20</f>
        <v>-22846153.8461538</v>
      </c>
      <c r="AD22" s="12" t="n">
        <f aca="false">AD14-AD20</f>
        <v>-22846153.8461538</v>
      </c>
      <c r="AE22" s="12" t="n">
        <f aca="false">AE14-AE20</f>
        <v>-22846153.8461538</v>
      </c>
      <c r="AF22" s="12" t="n">
        <f aca="false">AF14-AF20</f>
        <v>-22846153.8461538</v>
      </c>
      <c r="AG22" s="12" t="n">
        <f aca="false">AG14-AG20</f>
        <v>-22846153.8461538</v>
      </c>
      <c r="AH22" s="12" t="n">
        <f aca="false">AH14-AH20</f>
        <v>-22846153.8461538</v>
      </c>
      <c r="AI22" s="12" t="n">
        <f aca="false">AI14-AI20</f>
        <v>-22846153.8461538</v>
      </c>
      <c r="AJ22" s="12" t="n">
        <f aca="false">AJ14-AJ20</f>
        <v>-22846153.8461538</v>
      </c>
      <c r="AK22" s="12" t="n">
        <f aca="false">AK14-AK20</f>
        <v>-22846153.8461538</v>
      </c>
      <c r="AL22" s="12" t="n">
        <f aca="false">AL14-AL20</f>
        <v>110000000</v>
      </c>
      <c r="AM22" s="12" t="n">
        <f aca="false">AM14-AM20</f>
        <v>110000000</v>
      </c>
      <c r="AN22" s="12" t="n">
        <f aca="false">AN14-AN20</f>
        <v>110000000</v>
      </c>
      <c r="AO22" s="12" t="n">
        <f aca="false">AO14-AO20</f>
        <v>110000000</v>
      </c>
      <c r="AP22" s="12" t="n">
        <f aca="false">AP14-AP20</f>
        <v>110000000</v>
      </c>
      <c r="AQ22" s="12" t="n">
        <f aca="false">AQ14-AQ20</f>
        <v>110000000</v>
      </c>
      <c r="AR22" s="12" t="n">
        <f aca="false">AR14-AR20</f>
        <v>110000000</v>
      </c>
      <c r="AS22" s="12" t="n">
        <f aca="false">AS14-AS20</f>
        <v>110000000</v>
      </c>
    </row>
    <row r="23" customFormat="false" ht="15" hidden="false" customHeight="true" outlineLevel="0" collapsed="false">
      <c r="A23" s="4" t="s">
        <v>99</v>
      </c>
      <c r="B23" s="12" t="n">
        <f aca="false">B22</f>
        <v>-39460320.1666667</v>
      </c>
      <c r="C23" s="12" t="n">
        <f aca="false">B23+C22</f>
        <v>-78920640.3333333</v>
      </c>
      <c r="D23" s="12" t="n">
        <f aca="false">C23+D22</f>
        <v>-118380960.5</v>
      </c>
      <c r="E23" s="12" t="n">
        <f aca="false">D23+E22</f>
        <v>-157841280.666667</v>
      </c>
      <c r="F23" s="12" t="n">
        <f aca="false">E23+F22</f>
        <v>-197301600.833333</v>
      </c>
      <c r="G23" s="12" t="n">
        <f aca="false">F23+G22</f>
        <v>-236761921</v>
      </c>
      <c r="H23" s="12" t="n">
        <f aca="false">G23+H22</f>
        <v>-256561921</v>
      </c>
      <c r="I23" s="12" t="n">
        <f aca="false">H23+I22</f>
        <v>-276361921</v>
      </c>
      <c r="J23" s="12" t="n">
        <f aca="false">I23+J22</f>
        <v>-296161921</v>
      </c>
      <c r="K23" s="12" t="n">
        <f aca="false">J23+K22</f>
        <v>-315961921</v>
      </c>
      <c r="L23" s="12" t="n">
        <f aca="false">K23+L22</f>
        <v>-338808074.846154</v>
      </c>
      <c r="M23" s="12" t="n">
        <f aca="false">L23+M22</f>
        <v>-361654228.692308</v>
      </c>
      <c r="N23" s="12" t="n">
        <f aca="false">M23+N22</f>
        <v>-384500382.538461</v>
      </c>
      <c r="O23" s="12" t="n">
        <f aca="false">N23+O22</f>
        <v>-407346536.384615</v>
      </c>
      <c r="P23" s="12" t="n">
        <f aca="false">O23+P22</f>
        <v>-430192690.230769</v>
      </c>
      <c r="Q23" s="12" t="n">
        <f aca="false">P23+Q22</f>
        <v>-453038844.076923</v>
      </c>
      <c r="R23" s="12" t="n">
        <f aca="false">Q23+R22</f>
        <v>-475884997.923077</v>
      </c>
      <c r="S23" s="12" t="n">
        <f aca="false">R23+S22</f>
        <v>-498731151.76923</v>
      </c>
      <c r="T23" s="12" t="n">
        <f aca="false">S23+T22</f>
        <v>-521577305.615384</v>
      </c>
      <c r="U23" s="12" t="n">
        <f aca="false">T23+U22</f>
        <v>-544423459.461538</v>
      </c>
      <c r="V23" s="12" t="n">
        <f aca="false">U23+V22</f>
        <v>-567269613.307692</v>
      </c>
      <c r="W23" s="12" t="n">
        <f aca="false">V23+W22</f>
        <v>-590115767.153846</v>
      </c>
      <c r="X23" s="12" t="n">
        <f aca="false">W23+X22</f>
        <v>-612961921</v>
      </c>
      <c r="Y23" s="12" t="n">
        <f aca="false">X23+Y22</f>
        <v>-635808074.846154</v>
      </c>
      <c r="Z23" s="12" t="n">
        <f aca="false">Y23+Z22</f>
        <v>-658654228.692307</v>
      </c>
      <c r="AA23" s="12" t="n">
        <f aca="false">Z23+AA22</f>
        <v>-681500382.538461</v>
      </c>
      <c r="AB23" s="12" t="n">
        <f aca="false">AA23+AB22</f>
        <v>-704346536.384615</v>
      </c>
      <c r="AC23" s="12" t="n">
        <f aca="false">AB23+AC22</f>
        <v>-727192690.230769</v>
      </c>
      <c r="AD23" s="12" t="n">
        <f aca="false">AC23+AD22</f>
        <v>-750038844.076923</v>
      </c>
      <c r="AE23" s="12" t="n">
        <f aca="false">AD23+AE22</f>
        <v>-772884997.923077</v>
      </c>
      <c r="AF23" s="12" t="n">
        <f aca="false">AE23+AF22</f>
        <v>-795731151.769231</v>
      </c>
      <c r="AG23" s="12" t="n">
        <f aca="false">AF23+AG22</f>
        <v>-818577305.615384</v>
      </c>
      <c r="AH23" s="12" t="n">
        <f aca="false">AG23+AH22</f>
        <v>-841423459.461538</v>
      </c>
      <c r="AI23" s="12" t="n">
        <f aca="false">AH23+AI22</f>
        <v>-864269613.307692</v>
      </c>
      <c r="AJ23" s="12" t="n">
        <f aca="false">AI23+AJ22</f>
        <v>-887115767.153846</v>
      </c>
      <c r="AK23" s="12" t="n">
        <f aca="false">AJ23+AK22</f>
        <v>-909961921</v>
      </c>
      <c r="AL23" s="12" t="n">
        <f aca="false">AK23+AL22</f>
        <v>-799961921</v>
      </c>
      <c r="AM23" s="12" t="n">
        <f aca="false">AL23+AM22</f>
        <v>-689961921</v>
      </c>
      <c r="AN23" s="12" t="n">
        <f aca="false">AM23+AN22</f>
        <v>-579961921</v>
      </c>
      <c r="AO23" s="12" t="n">
        <f aca="false">AN23+AO22</f>
        <v>-469961921</v>
      </c>
      <c r="AP23" s="12" t="n">
        <f aca="false">AO23+AP22</f>
        <v>-359961921</v>
      </c>
      <c r="AQ23" s="12" t="n">
        <f aca="false">AP23+AQ22</f>
        <v>-249961921</v>
      </c>
      <c r="AR23" s="12" t="n">
        <f aca="false">AQ23+AR22</f>
        <v>-139961921</v>
      </c>
      <c r="AS23" s="12" t="n">
        <f aca="false">AR23+AS22</f>
        <v>-29961920.9999998</v>
      </c>
    </row>
    <row r="25" customFormat="false" ht="15" hidden="false" customHeight="true" outlineLevel="0" collapsed="false">
      <c r="A25" s="4" t="s">
        <v>100</v>
      </c>
      <c r="B25" s="12" t="n">
        <v>20000000</v>
      </c>
      <c r="C25" s="12" t="n">
        <v>20000000</v>
      </c>
      <c r="D25" s="12" t="n">
        <v>20000000</v>
      </c>
      <c r="E25" s="12" t="n">
        <v>20000000</v>
      </c>
      <c r="F25" s="12" t="n">
        <v>20000000</v>
      </c>
      <c r="G25" s="12" t="n">
        <v>20000000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5" hidden="false" customHeight="true" outlineLevel="0" collapsed="false">
      <c r="A1" s="2" t="s">
        <v>101</v>
      </c>
    </row>
    <row r="3" customFormat="false" ht="15" hidden="false" customHeight="true" outlineLevel="0" collapsed="false">
      <c r="A3" s="4" t="s">
        <v>102</v>
      </c>
    </row>
    <row r="4" customFormat="false" ht="15" hidden="false" customHeight="true" outlineLevel="0" collapsed="false">
      <c r="A4" s="1" t="s">
        <v>11</v>
      </c>
      <c r="B4" s="14" t="n">
        <f aca="false">Assumptions!B21*Assumptions!B13</f>
        <v>170000000</v>
      </c>
    </row>
    <row r="5" customFormat="false" ht="15" hidden="false" customHeight="true" outlineLevel="0" collapsed="false">
      <c r="A5" s="1" t="s">
        <v>13</v>
      </c>
      <c r="B5" s="14" t="n">
        <f aca="false">Assumptions!B22*Assumptions!B15</f>
        <v>476000000</v>
      </c>
    </row>
    <row r="6" customFormat="false" ht="15" hidden="false" customHeight="true" outlineLevel="0" collapsed="false">
      <c r="A6" s="1" t="s">
        <v>15</v>
      </c>
      <c r="B6" s="14" t="n">
        <f aca="false">Assumptions!B23*Assumptions!B17</f>
        <v>414000000</v>
      </c>
    </row>
    <row r="7" customFormat="false" ht="15" hidden="false" customHeight="true" outlineLevel="0" collapsed="false">
      <c r="A7" s="1" t="s">
        <v>103</v>
      </c>
      <c r="B7" s="15" t="n">
        <f aca="false">B4+B5+B6</f>
        <v>1060000000</v>
      </c>
    </row>
    <row r="9" customFormat="false" ht="15" hidden="false" customHeight="true" outlineLevel="0" collapsed="false">
      <c r="A9" s="4" t="s">
        <v>104</v>
      </c>
    </row>
    <row r="10" customFormat="false" ht="15" hidden="false" customHeight="true" outlineLevel="0" collapsed="false">
      <c r="A10" s="1" t="s">
        <v>16</v>
      </c>
      <c r="B10" s="14" t="n">
        <f aca="false">Assumptions!B24*Assumptions!B18</f>
        <v>660000000</v>
      </c>
    </row>
    <row r="12" customFormat="false" ht="15" hidden="false" customHeight="true" outlineLevel="0" collapsed="false">
      <c r="A12" s="1" t="s">
        <v>105</v>
      </c>
      <c r="B12" s="16" t="n">
        <f aca="false">B7+B10</f>
        <v>1720000000</v>
      </c>
    </row>
    <row r="14" customFormat="false" ht="15" hidden="false" customHeight="true" outlineLevel="0" collapsed="false">
      <c r="A14" s="1" t="s">
        <v>106</v>
      </c>
      <c r="B14" s="14" t="n">
        <f aca="false">Assumptions!B33</f>
        <v>909961921</v>
      </c>
    </row>
    <row r="16" customFormat="false" ht="15" hidden="false" customHeight="true" outlineLevel="0" collapsed="false">
      <c r="A16" s="1" t="s">
        <v>107</v>
      </c>
      <c r="B16" s="16" t="n">
        <f aca="false">B12-B14</f>
        <v>810038079</v>
      </c>
    </row>
    <row r="18" customFormat="false" ht="15" hidden="false" customHeight="true" outlineLevel="0" collapsed="false">
      <c r="A18" s="1" t="s">
        <v>108</v>
      </c>
      <c r="B18" s="17" t="n">
        <f aca="false">B16/B14</f>
        <v>0.890188985171831</v>
      </c>
    </row>
    <row r="20" customFormat="false" ht="15" hidden="false" customHeight="true" outlineLevel="0" collapsed="false">
      <c r="A20" s="1" t="s">
        <v>109</v>
      </c>
      <c r="B20" s="14" t="n">
        <f aca="false">Assumptions!B32</f>
        <v>117961921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2026-04-10T16:14:44Z</dcterms:created>
  <dc:creator>openpyxl</dc:creator>
  <dc:description/>
  <dc:language>en-US</dc:language>
  <cp:lastModifiedBy/>
  <dcterms:modified xsi:type="dcterms:W3CDTF">2026-04-10T16:16:22Z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