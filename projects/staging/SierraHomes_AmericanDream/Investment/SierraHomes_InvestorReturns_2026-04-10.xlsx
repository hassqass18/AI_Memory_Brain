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Return Waterfall" sheetId="2" state="visible" r:id="rId4"/>
    <sheet name="IRR Analysi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<sst xmlns="http://schemas.openxmlformats.org/spreadsheetml/2006/main" count="31" uniqueCount="31">
  <si>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 xml:space="preserve">Investor Returns - Assumptions</t>
  </si>
  <si>
    <t xml:space="preserve">Equity Amount (KES)</t>
  </si>
  <si>
    <t xml:space="preserve">Preferred Return (%)</t>
  </si>
  <si>
    <t xml:space="preserve">Hold Period (years)</t>
  </si>
  <si>
    <t xml:space="preserve">Profit Share Scenarios</t>
  </si>
  <si>
    <t xml:space="preserve">Scenario 1 (%)</t>
  </si>
  <si>
    <t xml:space="preserve">Scenario 2 (%)</t>
  </si>
  <si>
    <t xml:space="preserve">Scenario 3 (%)</t>
  </si>
  <si>
    <t xml:space="preserve">Total Gross Revenue (KES)</t>
  </si>
  <si>
    <t xml:space="preserve">Total Dev Cost (KES)</t>
  </si>
  <si>
    <t xml:space="preserve">Net Profit (KES)</t>
  </si>
  <si>
    <t xml:space="preserve">Return Waterfall Analysis</t>
  </si>
  <si>
    <t xml:space="preserve">Item</t>
  </si>
  <si>
    <t xml:space="preserve">Scenario 1 (10%)</t>
  </si>
  <si>
    <t xml:space="preserve">Scenario 2 (20%)</t>
  </si>
  <si>
    <t xml:space="preserve">Scenario 3 (30%)</t>
  </si>
  <si>
    <t xml:space="preserve">Equity In</t>
  </si>
  <si>
    <t xml:space="preserve">Preferred Return (12% × 3.5yr)</t>
  </si>
  <si>
    <t xml:space="preserve">Profit Share</t>
  </si>
  <si>
    <t xml:space="preserve">Total Return (Preferred + Share)</t>
  </si>
  <si>
    <t xml:space="preserve">Return of Capital</t>
  </si>
  <si>
    <t xml:space="preserve">TOTAL CASH RETURNED</t>
  </si>
  <si>
    <t xml:space="preserve">ROC (Return on Capital %)</t>
  </si>
  <si>
    <t xml:space="preserve">Net Profit to Investor</t>
  </si>
  <si>
    <t xml:space="preserve">IRR Analysis</t>
  </si>
  <si>
    <t xml:space="preserve">Year</t>
  </si>
  <si>
    <t xml:space="preserve">Cash Flow (KES)</t>
  </si>
  <si>
    <t xml:space="preserve">3 (Scenario 1)</t>
  </si>
  <si>
    <t xml:space="preserve">XIRR (Scenario 1)</t>
  </si>
  <si>
    <t xml:space="preserve">NPV @ 15% discount</t>
  </si>
  <si>
    <t xml:space="preserve">NPV @ 20% discount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</si>
</sst>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%"/>
    <numFmt numFmtId="167" formatCode="0.0"/>
    <numFmt numFmtId="168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3D3D3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</cols>
  <sheetData>
    <row r="1" customFormat="false" ht="15" hidden="false" customHeight="true" outlineLevel="0" collapsed="false">
      <c r="A1" s="2" t="s">
        <v>0</v>
      </c>
    </row>
    <row r="3" customFormat="false" ht="15" hidden="false" customHeight="true" outlineLevel="0" collapsed="false">
      <c r="A3" s="1" t="s">
        <v>1</v>
      </c>
      <c r="B3" s="3" t="n">
        <v>120000000</v>
      </c>
    </row>
    <row r="5" customFormat="false" ht="15" hidden="false" customHeight="true" outlineLevel="0" collapsed="false">
      <c r="A5" s="1" t="s">
        <v>2</v>
      </c>
      <c r="B5" s="4" t="n">
        <v>0.12</v>
      </c>
    </row>
    <row r="6" customFormat="false" ht="15" hidden="false" customHeight="true" outlineLevel="0" collapsed="false">
      <c r="A6" s="1" t="s">
        <v>3</v>
      </c>
      <c r="B6" s="5" t="n">
        <v>3.5</v>
      </c>
    </row>
    <row r="8" customFormat="false" ht="15" hidden="false" customHeight="true" outlineLevel="0" collapsed="false">
      <c r="A8" s="6" t="s">
        <v>4</v>
      </c>
    </row>
    <row r="9" customFormat="false" ht="15" hidden="false" customHeight="true" outlineLevel="0" collapsed="false">
      <c r="A9" s="1" t="s">
        <v>5</v>
      </c>
      <c r="B9" s="4" t="n">
        <v>0.1</v>
      </c>
    </row>
    <row r="10" customFormat="false" ht="15" hidden="false" customHeight="true" outlineLevel="0" collapsed="false">
      <c r="A10" s="1" t="s">
        <v>6</v>
      </c>
      <c r="B10" s="4" t="n">
        <v>0.2</v>
      </c>
    </row>
    <row r="11" customFormat="false" ht="15" hidden="false" customHeight="true" outlineLevel="0" collapsed="false">
      <c r="A11" s="1" t="s">
        <v>7</v>
      </c>
      <c r="B11" s="4" t="n">
        <v>0.3</v>
      </c>
    </row>
    <row r="13" customFormat="false" ht="15" hidden="false" customHeight="true" outlineLevel="0" collapsed="false">
      <c r="A13" s="1" t="s">
        <v>8</v>
      </c>
      <c r="B13" s="3" t="n">
        <v>1720000000</v>
      </c>
    </row>
    <row r="14" customFormat="false" ht="15" hidden="false" customHeight="true" outlineLevel="0" collapsed="false">
      <c r="A14" s="1" t="s">
        <v>9</v>
      </c>
      <c r="B14" s="3" t="n">
        <v>909961921</v>
      </c>
    </row>
    <row r="15" customFormat="false" ht="15" hidden="false" customHeight="true" outlineLevel="0" collapsed="false">
      <c r="A15" s="1" t="s">
        <v>10</v>
      </c>
      <c r="B15" s="7" t="n">
        <f aca="false">B13-B14</f>
        <v>810038079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1" width="22"/>
  </cols>
  <sheetData>
    <row r="1" customFormat="false" ht="15" hidden="false" customHeight="true" outlineLevel="0" collapsed="false">
      <c r="A1" s="2" t="s">
        <v>11</v>
      </c>
    </row>
    <row r="3" customFormat="false" ht="15" hidden="false" customHeight="true" outlineLevel="0" collapsed="false">
      <c r="A3" s="8" t="s">
        <v>12</v>
      </c>
      <c r="B3" s="8" t="s">
        <v>13</v>
      </c>
      <c r="C3" s="8" t="s">
        <v>14</v>
      </c>
      <c r="D3" s="8" t="s">
        <v>15</v>
      </c>
    </row>
    <row r="4" customFormat="false" ht="15" hidden="false" customHeight="true" outlineLevel="0" collapsed="false">
      <c r="A4" s="1" t="s">
        <v>16</v>
      </c>
      <c r="B4" s="9" t="n">
        <f aca="false">Assumptions!B3</f>
        <v>120000000</v>
      </c>
      <c r="C4" s="9" t="n">
        <f aca="false">Assumptions!B3</f>
        <v>120000000</v>
      </c>
      <c r="D4" s="9" t="n">
        <f aca="false">Assumptions!B3</f>
        <v>120000000</v>
      </c>
    </row>
    <row r="5" customFormat="false" ht="15" hidden="false" customHeight="true" outlineLevel="0" collapsed="false">
      <c r="A5" s="1" t="s">
        <v>17</v>
      </c>
      <c r="B5" s="9" t="n">
        <f aca="false">Assumptions!B3*Assumptions!B5*Assumptions!B6</f>
        <v>50400000</v>
      </c>
      <c r="C5" s="9" t="n">
        <f aca="false">Assumptions!B3*Assumptions!B5*Assumptions!B6</f>
        <v>50400000</v>
      </c>
      <c r="D5" s="9" t="n">
        <f aca="false">Assumptions!B3*Assumptions!B5*Assumptions!B6</f>
        <v>50400000</v>
      </c>
    </row>
    <row r="6" customFormat="false" ht="15" hidden="false" customHeight="true" outlineLevel="0" collapsed="false">
      <c r="A6" s="1" t="s">
        <v>18</v>
      </c>
      <c r="B6" s="9" t="n">
        <f aca="false">(Assumptions!B13-Assumptions!B14)*Assumptions!B9</f>
        <v>81003807.9</v>
      </c>
      <c r="C6" s="9" t="n">
        <f aca="false">(Assumptions!B13-Assumptions!B14)*Assumptions!B10</f>
        <v>162007615.8</v>
      </c>
      <c r="D6" s="9" t="n">
        <f aca="false">(Assumptions!B13-Assumptions!B14)*Assumptions!B11</f>
        <v>243011423.7</v>
      </c>
    </row>
    <row r="7" customFormat="false" ht="15" hidden="false" customHeight="true" outlineLevel="0" collapsed="false">
      <c r="A7" s="1" t="s">
        <v>19</v>
      </c>
      <c r="B7" s="10" t="n">
        <f aca="false">B5+B6</f>
        <v>131403807.9</v>
      </c>
      <c r="C7" s="10" t="n">
        <f aca="false">C5+C6</f>
        <v>212407615.8</v>
      </c>
      <c r="D7" s="10" t="n">
        <f aca="false">D5+D6</f>
        <v>293411423.7</v>
      </c>
    </row>
    <row r="8" customFormat="false" ht="15" hidden="false" customHeight="true" outlineLevel="0" collapsed="false">
      <c r="A8" s="1" t="s">
        <v>20</v>
      </c>
      <c r="B8" s="9" t="n">
        <f aca="false">Assumptions!B3</f>
        <v>120000000</v>
      </c>
      <c r="C8" s="9" t="n">
        <f aca="false">Assumptions!B3</f>
        <v>120000000</v>
      </c>
      <c r="D8" s="9" t="n">
        <f aca="false">Assumptions!B3</f>
        <v>120000000</v>
      </c>
    </row>
    <row r="9" customFormat="false" ht="15" hidden="false" customHeight="true" outlineLevel="0" collapsed="false">
      <c r="A9" s="1" t="s">
        <v>21</v>
      </c>
      <c r="B9" s="11" t="n">
        <f aca="false">B7+B8</f>
        <v>251403807.9</v>
      </c>
      <c r="C9" s="11" t="n">
        <f aca="false">C7+C8</f>
        <v>332407615.8</v>
      </c>
      <c r="D9" s="11" t="n">
        <f aca="false">D7+D8</f>
        <v>413411423.7</v>
      </c>
    </row>
    <row r="11" customFormat="false" ht="15" hidden="false" customHeight="true" outlineLevel="0" collapsed="false">
      <c r="A11" s="1" t="s">
        <v>22</v>
      </c>
      <c r="B11" s="12" t="n">
        <f aca="false">B7/Assumptions!B3</f>
        <v>1.0950317325</v>
      </c>
      <c r="C11" s="12" t="n">
        <f aca="false">C7/Assumptions!B3</f>
        <v>1.770063465</v>
      </c>
      <c r="D11" s="12" t="n">
        <f aca="false">D7/Assumptions!B3</f>
        <v>2.4450951975</v>
      </c>
    </row>
    <row r="12" customFormat="false" ht="15" hidden="false" customHeight="true" outlineLevel="0" collapsed="false">
      <c r="A12" s="1" t="s">
        <v>23</v>
      </c>
      <c r="B12" s="10" t="n">
        <f aca="false">B7-Assumptions!$B$2</f>
        <v>131403807.9</v>
      </c>
      <c r="C12" s="10" t="n">
        <f aca="false">C7-Assumptions!$B$2</f>
        <v>212407615.8</v>
      </c>
      <c r="D12" s="10" t="n">
        <f aca="false">D7-Assumptions!$B$2</f>
        <v>293411423.7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20"/>
  </cols>
  <sheetData>
    <row r="1" customFormat="false" ht="15" hidden="false" customHeight="true" outlineLevel="0" collapsed="false">
      <c r="A1" s="2" t="s">
        <v>24</v>
      </c>
    </row>
    <row r="3" customFormat="false" ht="15" hidden="false" customHeight="true" outlineLevel="0" collapsed="false">
      <c r="A3" s="8" t="s">
        <v>25</v>
      </c>
      <c r="B3" s="8" t="s">
        <v>26</v>
      </c>
    </row>
    <row r="4" customFormat="false" ht="15" hidden="false" customHeight="true" outlineLevel="0" collapsed="false">
      <c r="A4" s="1" t="n">
        <v>0</v>
      </c>
      <c r="B4" s="9" t="n">
        <f aca="false">-Assumptions!B3</f>
        <v>-120000000</v>
      </c>
    </row>
    <row r="5" customFormat="false" ht="15" hidden="false" customHeight="true" outlineLevel="0" collapsed="false">
      <c r="A5" s="1" t="n">
        <v>1</v>
      </c>
      <c r="B5" s="13" t="n">
        <v>0</v>
      </c>
    </row>
    <row r="6" customFormat="false" ht="15" hidden="false" customHeight="true" outlineLevel="0" collapsed="false">
      <c r="A6" s="1" t="n">
        <v>2</v>
      </c>
      <c r="B6" s="13" t="n">
        <v>0</v>
      </c>
    </row>
    <row r="7" customFormat="false" ht="15" hidden="false" customHeight="true" outlineLevel="0" collapsed="false">
      <c r="A7" s="1" t="s">
        <v>27</v>
      </c>
      <c r="B7" s="9" t="n">
        <f aca="false">('Return Waterfall'!B7 + 'Return Waterfall'!B8)</f>
        <v>251403807.9</v>
      </c>
    </row>
    <row r="9" customFormat="false" ht="15" hidden="false" customHeight="true" outlineLevel="0" collapsed="false">
      <c r="A9" s="1" t="s">
        <v>28</v>
      </c>
      <c r="B9" s="12" t="n">
        <f aca="false">IRR(B4:B7)</f>
        <v>0.279568485016369</v>
      </c>
    </row>
    <row r="11" customFormat="false" ht="15" hidden="false" customHeight="true" outlineLevel="0" collapsed="false">
      <c r="A11" s="1" t="s">
        <v>29</v>
      </c>
      <c r="B11" s="7" t="n">
        <f aca="false">NPV(0.15,B5:B7)+B4</f>
        <v>45302084.5894633</v>
      </c>
    </row>
    <row r="12" customFormat="false" ht="15" hidden="false" customHeight="true" outlineLevel="0" collapsed="false">
      <c r="A12" s="1" t="s">
        <v>30</v>
      </c>
      <c r="B12" s="7" t="n">
        <f aca="false">NPV(0.2,B5:B7)+B4</f>
        <v>25488314.7569445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2026-04-10T16:14:44Z</dcterms:created>
  <dc:creator>openpyxl</dc:creator>
  <dc:description/>
  <dc:language>en-US</dc:language>
  <cp:lastModifiedBy/>
  <dcterms:modified xsi:type="dcterms:W3CDTF">2026-04-10T16:15:51Z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