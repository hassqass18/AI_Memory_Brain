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Build" sheetId="3" state="visible" r:id="rId5"/>
    <sheet name="CAPEX Schedule" sheetId="4" state="visible" r:id="rId6"/>
    <sheet name="OPEX Schedule" sheetId="5" state="visible" r:id="rId7"/>
    <sheet name="Financing Structure" sheetId="6" state="visible" r:id="rId8"/>
    <sheet name="Cash Flow Waterfall" sheetId="7" state="visible" r:id="rId9"/>
    <sheet name="Currency &amp; FX" sheetId="8" state="visible" r:id="rId10"/>
    <sheet name="Returns Analysis" sheetId="9" state="visible" r:id="rId11"/>
    <sheet name="Exit Scenarios" sheetId="10" state="visible" r:id="rId12"/>
    <sheet name="Sensitivity" sheetId="11" state="visible" r:id="rId13"/>
    <sheet name="Impact Metric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1=Port/Logistics, 2=Mining/Minerals, 3=Energy/Power, 4=Transport/Roads, 5=LNG/Gas, 6=Agri-Processing</t>
        </r>
      </text>
    </comment>
  </commentList>
</comments>
</file>

<file path=xl/sharedStrings.xml><?xml version="1.0" encoding="utf-8"?>
<sst xmlns="http://schemas.openxmlformats.org/spreadsheetml/2006/main" count="678" uniqueCount="412">
  <si>
    <t xml:space="preserve">MSIFS — Frontier Impact Infrastructure &amp; Minerals Fund</t>
  </si>
  <si>
    <t xml:space="preserve">Multi-Dimensional Infrastructure Project Finance Model</t>
  </si>
  <si>
    <t xml:space="preserve">Model Version 1.0  |  February 2026</t>
  </si>
  <si>
    <t xml:space="preserve">MODEL ARCHITECTURE</t>
  </si>
  <si>
    <t xml:space="preserve">Sheet</t>
  </si>
  <si>
    <t xml:space="preserve">Purpose</t>
  </si>
  <si>
    <t xml:space="preserve">1. Cover</t>
  </si>
  <si>
    <t xml:space="preserve">This page — overview and instructions</t>
  </si>
  <si>
    <t xml:space="preserve">2. Assumptions</t>
  </si>
  <si>
    <t xml:space="preserve">All hardcoded inputs: project type toggles, macro assumptions, financing terms</t>
  </si>
  <si>
    <t xml:space="preserve">3. Revenue Build</t>
  </si>
  <si>
    <t xml:space="preserve">Revenue projections by project type with commodity price scenarios</t>
  </si>
  <si>
    <t xml:space="preserve">4. CAPEX Schedule</t>
  </si>
  <si>
    <t xml:space="preserve">Construction &amp; development cost phasing with contingency</t>
  </si>
  <si>
    <t xml:space="preserve">5. OPEX Schedule</t>
  </si>
  <si>
    <t xml:space="preserve">Operating cost buildup with escalation and FX impact</t>
  </si>
  <si>
    <t xml:space="preserve">6. Financing Structure</t>
  </si>
  <si>
    <t xml:space="preserve">Multi-tranche debt &amp; equity waterfall with currency layers</t>
  </si>
  <si>
    <t xml:space="preserve">7. Cash Flow Waterfall</t>
  </si>
  <si>
    <t xml:space="preserve">Integrated cash flow statement with DSCR and LLCR</t>
  </si>
  <si>
    <t xml:space="preserve">8. Currency &amp; FX</t>
  </si>
  <si>
    <t xml:space="preserve">Cross-border FX modeling, hedging costs, local currency swaps</t>
  </si>
  <si>
    <t xml:space="preserve">9. Returns Analysis</t>
  </si>
  <si>
    <t xml:space="preserve">IRR, NPV, MOIC, payback for equity and project-level returns</t>
  </si>
  <si>
    <t xml:space="preserve">10. Exit Scenarios</t>
  </si>
  <si>
    <t xml:space="preserve">Multiple exit paths: trade sale, IPO, recap, strategic, liquidation</t>
  </si>
  <si>
    <t xml:space="preserve">11. Sensitivity</t>
  </si>
  <si>
    <t xml:space="preserve">Tornado charts data, scenario matrix, Monte Carlo input ranges</t>
  </si>
  <si>
    <t xml:space="preserve">12. Impact Metrics</t>
  </si>
  <si>
    <t xml:space="preserve">IRIS+ aligned impact KPIs and impact-linked carry calculation</t>
  </si>
  <si>
    <t xml:space="preserve">COLOR CODING CONVENTIONS</t>
  </si>
  <si>
    <t xml:space="preserve">Blue text</t>
  </si>
  <si>
    <t xml:space="preserve">Hardcoded inputs — user modifiable</t>
  </si>
  <si>
    <t xml:space="preserve">Black text</t>
  </si>
  <si>
    <t xml:space="preserve">Formulas and calculations</t>
  </si>
  <si>
    <t xml:space="preserve">Green text</t>
  </si>
  <si>
    <t xml:space="preserve">Cross-sheet references</t>
  </si>
  <si>
    <t xml:space="preserve">Yellow highlight</t>
  </si>
  <si>
    <t xml:space="preserve">Key assumptions requiring attention</t>
  </si>
  <si>
    <t xml:space="preserve">GLOBAL ASSUMPTIONS &amp; PROJECT PARAMETERS</t>
  </si>
  <si>
    <t xml:space="preserve">PROJECT TYPE SELECTOR</t>
  </si>
  <si>
    <t xml:space="preserve">Project Type Toggle (1-6)</t>
  </si>
  <si>
    <t xml:space="preserve">1 = Port &amp; Logistics Infrastructure</t>
  </si>
  <si>
    <t xml:space="preserve">Lamu Port, Maputo, Grain Elevators</t>
  </si>
  <si>
    <t xml:space="preserve">2 = Mining &amp; Mineral Processing</t>
  </si>
  <si>
    <t xml:space="preserve">Lithium, Copper, Rare Earth, Gold</t>
  </si>
  <si>
    <t xml:space="preserve">3 = Energy &amp; Power Generation</t>
  </si>
  <si>
    <t xml:space="preserve">Solar, Wind, Hybrid, Gas-to-Power</t>
  </si>
  <si>
    <t xml:space="preserve">4 = Transport Corridors</t>
  </si>
  <si>
    <t xml:space="preserve">Toll Roads, Railways, LAPSSET</t>
  </si>
  <si>
    <t xml:space="preserve">5 = LNG &amp; Gas Infrastructure</t>
  </si>
  <si>
    <t xml:space="preserve">Mtwara LNG, Virtual Pipelines, CNG</t>
  </si>
  <si>
    <t xml:space="preserve">6 = Agri-Processing &amp; Value Chain</t>
  </si>
  <si>
    <t xml:space="preserve">Grain Handling, Cold Storage, Fertilizer</t>
  </si>
  <si>
    <t xml:space="preserve">MACRO &amp; COUNTRY ASSUMPTIONS</t>
  </si>
  <si>
    <t xml:space="preserve">Parameter</t>
  </si>
  <si>
    <t xml:space="preserve">Base Case</t>
  </si>
  <si>
    <t xml:space="preserve">Downside</t>
  </si>
  <si>
    <t xml:space="preserve">Upside</t>
  </si>
  <si>
    <t xml:space="preserve">Unit</t>
  </si>
  <si>
    <t xml:space="preserve">Country Risk Premium</t>
  </si>
  <si>
    <t xml:space="preserve">%</t>
  </si>
  <si>
    <t xml:space="preserve">Sovereign Credit Spread (bps)</t>
  </si>
  <si>
    <t xml:space="preserve">bps</t>
  </si>
  <si>
    <t xml:space="preserve">Local Inflation Rate</t>
  </si>
  <si>
    <t xml:space="preserve">USD Inflation Rate</t>
  </si>
  <si>
    <t xml:space="preserve">Local Currency Depr. Rate (annual)</t>
  </si>
  <si>
    <t xml:space="preserve">Political Risk Insurance Cost</t>
  </si>
  <si>
    <t xml:space="preserve">Corporate Tax Rate (host)</t>
  </si>
  <si>
    <t xml:space="preserve">Withholding Tax on Dividends</t>
  </si>
  <si>
    <t xml:space="preserve">VAT Rate</t>
  </si>
  <si>
    <t xml:space="preserve">Tax Holiday (years)</t>
  </si>
  <si>
    <t xml:space="preserve">yrs</t>
  </si>
  <si>
    <t xml:space="preserve">WACC — Risk-Free Rate (USD)</t>
  </si>
  <si>
    <t xml:space="preserve">Equity Risk Premium</t>
  </si>
  <si>
    <t xml:space="preserve">Target Gross IRR</t>
  </si>
  <si>
    <t xml:space="preserve">PROJECT-LEVEL ASSUMPTIONS</t>
  </si>
  <si>
    <t xml:space="preserve">Total Project Cost ($M)</t>
  </si>
  <si>
    <t xml:space="preserve">$M</t>
  </si>
  <si>
    <t xml:space="preserve">Construction Period (months)</t>
  </si>
  <si>
    <t xml:space="preserve">mo</t>
  </si>
  <si>
    <t xml:space="preserve">Operating Life (years)</t>
  </si>
  <si>
    <t xml:space="preserve">Fund Investment ($M)</t>
  </si>
  <si>
    <t xml:space="preserve">Equity Stake (%)</t>
  </si>
  <si>
    <t xml:space="preserve">Revenue Ramp-Up (years to full)</t>
  </si>
  <si>
    <t xml:space="preserve">Steady-State Utilization</t>
  </si>
  <si>
    <t xml:space="preserve">Annual Revenue at Full Capacity ($M)</t>
  </si>
  <si>
    <t xml:space="preserve">OPEX as % of Revenue</t>
  </si>
  <si>
    <t xml:space="preserve">Annual OPEX Escalation</t>
  </si>
  <si>
    <t xml:space="preserve">Maintenance CAPEX (% of initial)</t>
  </si>
  <si>
    <t xml:space="preserve">Working Capital (days of revenue)</t>
  </si>
  <si>
    <t xml:space="preserve">days</t>
  </si>
  <si>
    <t xml:space="preserve">Contingency (% of CAPEX)</t>
  </si>
  <si>
    <t xml:space="preserve">FINANCING STRUCTURE</t>
  </si>
  <si>
    <t xml:space="preserve">Senior Debt (% of Project Cost)</t>
  </si>
  <si>
    <t xml:space="preserve">Senior Debt Tenor (years)</t>
  </si>
  <si>
    <t xml:space="preserve">Senior Debt Interest Rate</t>
  </si>
  <si>
    <t xml:space="preserve">Senior Debt Grace Period (years)</t>
  </si>
  <si>
    <t xml:space="preserve">Mezzanine Debt (% of Project Cost)</t>
  </si>
  <si>
    <t xml:space="preserve">Mezzanine Rate</t>
  </si>
  <si>
    <t xml:space="preserve">DFI/Concessional Layer (% of Cost)</t>
  </si>
  <si>
    <t xml:space="preserve">DFI Interest Rate</t>
  </si>
  <si>
    <t xml:space="preserve">DFI Tenor (years)</t>
  </si>
  <si>
    <t xml:space="preserve">Equity Contribution (% of Cost)</t>
  </si>
  <si>
    <t xml:space="preserve">Debt Arrangement Fee</t>
  </si>
  <si>
    <t xml:space="preserve">Commitment Fee on Undrawn</t>
  </si>
  <si>
    <t xml:space="preserve">DSRA (months of debt service)</t>
  </si>
  <si>
    <t xml:space="preserve">Target Min DSCR</t>
  </si>
  <si>
    <t xml:space="preserve">x</t>
  </si>
  <si>
    <t xml:space="preserve">Lock-Up DSCR</t>
  </si>
  <si>
    <t xml:space="preserve">COMMODITY PRICE ASSUMPTIONS (for Mining/LNG toggles)</t>
  </si>
  <si>
    <t xml:space="preserve">Commodity</t>
  </si>
  <si>
    <t xml:space="preserve">Bear</t>
  </si>
  <si>
    <t xml:space="preserve">Bull</t>
  </si>
  <si>
    <t xml:space="preserve">Copper ($/tonne)</t>
  </si>
  <si>
    <t xml:space="preserve">$/t</t>
  </si>
  <si>
    <t xml:space="preserve">Lithium Carbonate ($/tonne)</t>
  </si>
  <si>
    <t xml:space="preserve">Gold ($/oz)</t>
  </si>
  <si>
    <t xml:space="preserve">$/oz</t>
  </si>
  <si>
    <t xml:space="preserve">Rare Earth Oxide Basket ($/kg)</t>
  </si>
  <si>
    <t xml:space="preserve">$/kg</t>
  </si>
  <si>
    <t xml:space="preserve">LNG ($/MMBtu)</t>
  </si>
  <si>
    <t xml:space="preserve">$/MMBtu</t>
  </si>
  <si>
    <t xml:space="preserve">CNG ($/MMBtu)</t>
  </si>
  <si>
    <t xml:space="preserve">Annual Commodity Price Escalation</t>
  </si>
  <si>
    <t xml:space="preserve">REVENUE PROJECTIONS — 20-YEAR OPERATING HORIZON</t>
  </si>
  <si>
    <t xml:space="preserve">Year</t>
  </si>
  <si>
    <t xml:space="preserve">REVENUE DRIVERS</t>
  </si>
  <si>
    <t xml:space="preserve">Capacity Utilization Ramp</t>
  </si>
  <si>
    <t xml:space="preserve">Gross Revenue (Base, $M)</t>
  </si>
  <si>
    <t xml:space="preserve">Commodity Price Adjustment Factor</t>
  </si>
  <si>
    <t xml:space="preserve">FX-Adjusted Revenue ($M, USD)</t>
  </si>
  <si>
    <t xml:space="preserve">OPERATING REVENUE DETAIL</t>
  </si>
  <si>
    <t xml:space="preserve">Primary Revenue Stream ($M)</t>
  </si>
  <si>
    <t xml:space="preserve">Secondary/By-product Revenue ($M)</t>
  </si>
  <si>
    <t xml:space="preserve">Offtake/Tolling Revenue ($M)</t>
  </si>
  <si>
    <t xml:space="preserve">Government Subsidy/Grant Income ($M)</t>
  </si>
  <si>
    <t xml:space="preserve">Total Gross Revenue ($M)</t>
  </si>
  <si>
    <t xml:space="preserve">REVENUE ADJUSTMENTS</t>
  </si>
  <si>
    <t xml:space="preserve">Withholding Tax on Gross Revenue</t>
  </si>
  <si>
    <t xml:space="preserve">VAT/Sales Tax Impact</t>
  </si>
  <si>
    <t xml:space="preserve">FX Translation Gain/(Loss)</t>
  </si>
  <si>
    <t xml:space="preserve">Net Revenue ($M, USD)</t>
  </si>
  <si>
    <t xml:space="preserve">CAPITAL EXPENDITURE SCHEDULE</t>
  </si>
  <si>
    <t xml:space="preserve">CAPEX Component</t>
  </si>
  <si>
    <t xml:space="preserve">Total ($M)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</si>
  <si>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</si>
  <si>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</si>
  <si>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</si>
  <si>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</si>
  <si>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</si>
  <si>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% of Total</t>
  </si>
  <si>
    <t xml:space="preserve">HARD COSTS</t>
  </si>
  <si>
    <t xml:space="preserve">Land Acquisition &amp; Site Preparation</t>
  </si>
  <si>
    <t xml:space="preserve">Civil Works &amp; Earthworks</t>
  </si>
  <si>
    <t xml:space="preserve">Structural/Building Construction</t>
  </si>
  <si>
    <t xml:space="preserve">Equipment &amp; Machinery (imported)</t>
  </si>
  <si>
    <t xml:space="preserve">Equipment &amp; Machinery (local)</t>
  </si>
  <si>
    <t xml:space="preserve">Installation &amp; Commissioning</t>
  </si>
  <si>
    <t xml:space="preserve">Utility Connections (power, water)</t>
  </si>
  <si>
    <t xml:space="preserve">Total Hard Costs</t>
  </si>
  <si>
    <t xml:space="preserve">SOFT COSTS</t>
  </si>
  <si>
    <t xml:space="preserve">Engineering &amp; Design (FEED/EPC)</t>
  </si>
  <si>
    <t xml:space="preserve">Environmental &amp; Social Impact Assessment</t>
  </si>
  <si>
    <t xml:space="preserve">Legal &amp; Regulatory (permits, licenses)</t>
  </si>
  <si>
    <t xml:space="preserve">Insurance (construction period)</t>
  </si>
  <si>
    <t xml:space="preserve">Project Management &amp; Owner's Engineer</t>
  </si>
  <si>
    <t xml:space="preserve">Interest During Construction (IDC)</t>
  </si>
  <si>
    <t xml:space="preserve">Total Soft Costs</t>
  </si>
  <si>
    <t xml:space="preserve">CONTINGENCY &amp; RESERVES</t>
  </si>
  <si>
    <t xml:space="preserve">Physical Contingency</t>
  </si>
  <si>
    <t xml:space="preserve">Price Contingency (inflation)</t>
  </si>
  <si>
    <t xml:space="preserve">FX Contingency</t>
  </si>
  <si>
    <t xml:space="preserve">Total Contingency</t>
  </si>
  <si>
    <t xml:space="preserve">TOTAL PROJECT CAPEX</t>
  </si>
  <si>
    <t xml:space="preserve">OPERATING EXPENDITURE SCHEDULE</t>
  </si>
  <si>
    <t xml:space="preserve">OPEX Component</t>
  </si>
  <si>
    <t xml:space="preserve">FIXED OPERATING COSTS</t>
  </si>
  <si>
    <t xml:space="preserve">Staff &amp; Labor (local)</t>
  </si>
  <si>
    <t xml:space="preserve">Staff &amp; Labor (expatriate)</t>
  </si>
  <si>
    <t xml:space="preserve">Insurance (operational)</t>
  </si>
  <si>
    <t xml:space="preserve">Land Lease / Concession Fee</t>
  </si>
  <si>
    <t xml:space="preserve">Security &amp; Community Relations</t>
  </si>
  <si>
    <t xml:space="preserve">Total Fixed OPEX</t>
  </si>
  <si>
    <t xml:space="preserve">VARIABLE OPERATING COSTS</t>
  </si>
  <si>
    <t xml:space="preserve">Raw Materials / Consumables</t>
  </si>
  <si>
    <t xml:space="preserve">Energy / Fuel Costs</t>
  </si>
  <si>
    <t xml:space="preserve">Maintenance &amp; Repairs</t>
  </si>
  <si>
    <t xml:space="preserve">Transport &amp; Logistics</t>
  </si>
  <si>
    <t xml:space="preserve">Water &amp; Environmental</t>
  </si>
  <si>
    <t xml:space="preserve">Total Variable OPEX</t>
  </si>
  <si>
    <t xml:space="preserve">OTHER OPERATING COSTS</t>
  </si>
  <si>
    <t xml:space="preserve">Management Fee (GP)</t>
  </si>
  <si>
    <t xml:space="preserve">Political Risk Insurance</t>
  </si>
  <si>
    <t xml:space="preserve">FX Hedging Costs</t>
  </si>
  <si>
    <t xml:space="preserve">Maintenance CAPEX</t>
  </si>
  <si>
    <t xml:space="preserve">Working Capital Change</t>
  </si>
  <si>
    <t xml:space="preserve">Total Other Costs</t>
  </si>
  <si>
    <t xml:space="preserve">TOTAL OPEX</t>
  </si>
  <si>
    <t xml:space="preserve">MULTI-TRANCHE FINANCING &amp; DEBT SERVICE</t>
  </si>
  <si>
    <t xml:space="preserve">Financing Component</t>
  </si>
  <si>
    <t xml:space="preserve">SOURCES OF FUNDS</t>
  </si>
  <si>
    <t xml:space="preserve">Senior Debt Drawdown</t>
  </si>
  <si>
    <t xml:space="preserve">Mezzanine Debt Drawdown</t>
  </si>
  <si>
    <t xml:space="preserve">DFI/Concessional Drawdown</t>
  </si>
  <si>
    <t xml:space="preserve">Equity Injection</t>
  </si>
  <si>
    <t xml:space="preserve">Total Sources</t>
  </si>
  <si>
    <t xml:space="preserve">SENIOR DEBT SERVICE</t>
  </si>
  <si>
    <t xml:space="preserve">Opening Balance</t>
  </si>
  <si>
    <t xml:space="preserve">Drawdowns</t>
  </si>
  <si>
    <t xml:space="preserve">Scheduled Repayment</t>
  </si>
  <si>
    <t xml:space="preserve">Cash Sweep Repayment</t>
  </si>
  <si>
    <t xml:space="preserve">Closing Balance</t>
  </si>
  <si>
    <t xml:space="preserve">Interest Expense</t>
  </si>
  <si>
    <t xml:space="preserve">Total Senior Debt Service</t>
  </si>
  <si>
    <t xml:space="preserve">MEZZANINE DEBT SERVICE</t>
  </si>
  <si>
    <t xml:space="preserve">Interest Expense (PIK + Cash)</t>
  </si>
  <si>
    <t xml:space="preserve">Total Mezz Debt Service</t>
  </si>
  <si>
    <t xml:space="preserve">DFI/CONCESSIONAL LAYER</t>
  </si>
  <si>
    <t xml:space="preserve">Total DFI Debt Service</t>
  </si>
  <si>
    <t xml:space="preserve">AGGREGATE DEBT METRICS</t>
  </si>
  <si>
    <t xml:space="preserve">Total Debt Outstanding</t>
  </si>
  <si>
    <t xml:space="preserve">Total Interest Expense</t>
  </si>
  <si>
    <t xml:space="preserve">Total Principal Repayment</t>
  </si>
  <si>
    <t xml:space="preserve">Total Debt Service</t>
  </si>
  <si>
    <t xml:space="preserve">DSCR (Debt Service Coverage Ratio)</t>
  </si>
  <si>
    <t xml:space="preserve">LLCR (Loan Life Coverage Ratio)</t>
  </si>
  <si>
    <t xml:space="preserve">Debt / Equity Ratio</t>
  </si>
  <si>
    <t xml:space="preserve">INTEGRATED CASH FLOW WATERFALL</t>
  </si>
  <si>
    <t xml:space="preserve">Cash Flow Item</t>
  </si>
  <si>
    <t xml:space="preserve">PROJECT CASH FLOWS</t>
  </si>
  <si>
    <t xml:space="preserve">Net Revenue (from Revenue Build)</t>
  </si>
  <si>
    <t xml:space="preserve">Less: Total OPEX</t>
  </si>
  <si>
    <t xml:space="preserve">EBITDA</t>
  </si>
  <si>
    <t xml:space="preserve">Less: Depreciation (straight-line)</t>
  </si>
  <si>
    <t xml:space="preserve">Taxable Income</t>
  </si>
  <si>
    <t xml:space="preserve">Less: Corporate Tax</t>
  </si>
  <si>
    <t xml:space="preserve">Net Income</t>
  </si>
  <si>
    <t xml:space="preserve">Add Back: Depreciation</t>
  </si>
  <si>
    <t xml:space="preserve">Less: Maintenance CAPEX</t>
  </si>
  <si>
    <t xml:space="preserve">Cash Flow Available for Debt Service (CFADS)</t>
  </si>
  <si>
    <t xml:space="preserve">DEBT SERVICE WATERFALL</t>
  </si>
  <si>
    <t xml:space="preserve">Less: Senior Debt Service</t>
  </si>
  <si>
    <t xml:space="preserve">Less: Mezzanine Debt Service</t>
  </si>
  <si>
    <t xml:space="preserve">Less: DFI Debt Service</t>
  </si>
  <si>
    <t xml:space="preserve">Cash Flow After Debt Service (CFADS-DS)</t>
  </si>
  <si>
    <t xml:space="preserve">EQUITY CASH FLOWS</t>
  </si>
  <si>
    <t xml:space="preserve">Less: DSRA Funding/(Release)</t>
  </si>
  <si>
    <t xml:space="preserve">Less: Cash Sweep (if applicable)</t>
  </si>
  <si>
    <t xml:space="preserve">Free Cash Flow to Equity (FCFE)</t>
  </si>
  <si>
    <t xml:space="preserve">Less: Withholding Tax on Distributions</t>
  </si>
  <si>
    <t xml:space="preserve">Net Distributable Cash Flow</t>
  </si>
  <si>
    <t xml:space="preserve">FUND-LEVEL CASH FLOWS</t>
  </si>
  <si>
    <t xml:space="preserve">Fund's Share of Distributions (at equity %)</t>
  </si>
  <si>
    <t xml:space="preserve">Cumulative Distributions</t>
  </si>
  <si>
    <t xml:space="preserve">KEY METRICS</t>
  </si>
  <si>
    <t xml:space="preserve">EBITDA Margin</t>
  </si>
  <si>
    <t xml:space="preserve">DSCR</t>
  </si>
  <si>
    <t xml:space="preserve">Debt / EBITDA</t>
  </si>
  <si>
    <t xml:space="preserve">Cumulative Cash Flow</t>
  </si>
  <si>
    <t xml:space="preserve">CURRENCY RISK &amp; CROSS-BORDER TRANSACTION MODEL</t>
  </si>
  <si>
    <t xml:space="preserve">FX Component</t>
  </si>
  <si>
    <t xml:space="preserve">EXCHANGE RATE PROJECTIONS</t>
  </si>
  <si>
    <t xml:space="preserve">Spot Rate (Local/USD) — Base</t>
  </si>
  <si>
    <t xml:space="preserve">Forward Rate (PPP-based)</t>
  </si>
  <si>
    <t xml:space="preserve">Stressed Rate (Downside)</t>
  </si>
  <si>
    <t xml:space="preserve">Hedged Rate (if applicable)</t>
  </si>
  <si>
    <t xml:space="preserve">REVENUE CURRENCY SPLIT</t>
  </si>
  <si>
    <t xml:space="preserve">% Revenue in USD (hard currency)</t>
  </si>
  <si>
    <t xml:space="preserve">% Revenue in Local Currency</t>
  </si>
  <si>
    <t xml:space="preserve">Effective Blended Revenue ($M, USD)</t>
  </si>
  <si>
    <t xml:space="preserve">COST CURRENCY SPLIT</t>
  </si>
  <si>
    <t xml:space="preserve">% OPEX in USD</t>
  </si>
  <si>
    <t xml:space="preserve">% OPEX in Local Currency</t>
  </si>
  <si>
    <t xml:space="preserve">Natural Hedge Ratio</t>
  </si>
  <si>
    <t xml:space="preserve">CROSS-BORDER TRANSACTION COSTS</t>
  </si>
  <si>
    <t xml:space="preserve">Wire Transfer / SWIFT Fees ($M)</t>
  </si>
  <si>
    <t xml:space="preserve">Currency Conversion Spread</t>
  </si>
  <si>
    <t xml:space="preserve">Capital Repatriation Tax</t>
  </si>
  <si>
    <t xml:space="preserve">FX Hedging Premium (NDF/swap)</t>
  </si>
  <si>
    <t xml:space="preserve">Total Cross-Border Costs ($M)</t>
  </si>
  <si>
    <t xml:space="preserve">FX IMPACT ANALYSIS</t>
  </si>
  <si>
    <t xml:space="preserve">Unhedged FX P&amp;L Impact ($M)</t>
  </si>
  <si>
    <t xml:space="preserve">Net FX Exposure After Hedging ($M)</t>
  </si>
  <si>
    <t xml:space="preserve">Cumulative FX Impact ($M)</t>
  </si>
  <si>
    <t xml:space="preserve">RETURNS ANALYSIS — IRR, NPV, MOIC</t>
  </si>
  <si>
    <t xml:space="preserve">PROJECT-LEVEL RETURNS</t>
  </si>
  <si>
    <t xml:space="preserve">Metric</t>
  </si>
  <si>
    <t xml:space="preserve">Project Unlevered IRR</t>
  </si>
  <si>
    <t xml:space="preserve">IRR calc</t>
  </si>
  <si>
    <t xml:space="preserve">Project NPV @ WACC ($M)</t>
  </si>
  <si>
    <t xml:space="preserve">NPV calc</t>
  </si>
  <si>
    <t xml:space="preserve">Project MOIC (unlevered)</t>
  </si>
  <si>
    <t xml:space="preserve">MOIC calc</t>
  </si>
  <si>
    <t xml:space="preserve">Payback Period (years)</t>
  </si>
  <si>
    <t xml:space="preserve">Payback</t>
  </si>
  <si>
    <t xml:space="preserve">IRR CASH FLOW ARRAY (for manual IRR calculation)</t>
  </si>
  <si>
    <t xml:space="preserve">Project CF</t>
  </si>
  <si>
    <t xml:space="preserve">Equity CF</t>
  </si>
  <si>
    <t xml:space="preserve">Fund CF</t>
  </si>
  <si>
    <t xml:space="preserve">IRR</t>
  </si>
  <si>
    <t xml:space="preserve">MOIC</t>
  </si>
  <si>
    <t xml:space="preserve">NPV @ 10%</t>
  </si>
  <si>
    <t xml:space="preserve">EXIT SCENARIO ANALYSIS</t>
  </si>
  <si>
    <t xml:space="preserve">EXIT TIMING &amp; MULTIPLES</t>
  </si>
  <si>
    <t xml:space="preserve">Year 5</t>
  </si>
  <si>
    <t xml:space="preserve">Year 7</t>
  </si>
  <si>
    <t xml:space="preserve">Year 10</t>
  </si>
  <si>
    <t xml:space="preserve">Year 12</t>
  </si>
  <si>
    <t xml:space="preserve">Year 15</t>
  </si>
  <si>
    <t xml:space="preserve">Exit EBITDA Multiple (x)</t>
  </si>
  <si>
    <t xml:space="preserve">Projected EBITDA at Exit ($M)</t>
  </si>
  <si>
    <t xml:space="preserve">Enterprise Value at Exit ($M)</t>
  </si>
  <si>
    <t xml:space="preserve">Less: Net Debt at Exit ($M)</t>
  </si>
  <si>
    <t xml:space="preserve">Equity Value ($M)</t>
  </si>
  <si>
    <t xml:space="preserve">Fund's Share of Equity Value ($M)</t>
  </si>
  <si>
    <t xml:space="preserve">Plus: Cumulative Distributions ($M)</t>
  </si>
  <si>
    <t xml:space="preserve">Total Fund Proceeds ($M)</t>
  </si>
  <si>
    <t xml:space="preserve">EXIT TYPE COMPARISON</t>
  </si>
  <si>
    <t xml:space="preserve">Trade Sale</t>
  </si>
  <si>
    <t xml:space="preserve">Secondary PE</t>
  </si>
  <si>
    <t xml:space="preserve">IPO</t>
  </si>
  <si>
    <t xml:space="preserve">Recapitalization</t>
  </si>
  <si>
    <t xml:space="preserve">Liquidation</t>
  </si>
  <si>
    <t xml:space="preserve">Probability Weighting</t>
  </si>
  <si>
    <t xml:space="preserve">EBITDA Multiple Adjustment</t>
  </si>
  <si>
    <t xml:space="preserve">Transaction Cost (%)</t>
  </si>
  <si>
    <t xml:space="preserve">Time to Close (months)</t>
  </si>
  <si>
    <t xml:space="preserve">Tax Efficiency Factor</t>
  </si>
  <si>
    <t xml:space="preserve">RETURNS BY EXIT TYPE (Base Case: Year 7 Exit)</t>
  </si>
  <si>
    <t xml:space="preserve">Adjusted EV ($M)</t>
  </si>
  <si>
    <t xml:space="preserve">Net Equity to Fund ($M)</t>
  </si>
  <si>
    <t xml:space="preserve">Fund MOIC</t>
  </si>
  <si>
    <t xml:space="preserve">Fund IRR (approx)</t>
  </si>
  <si>
    <t xml:space="preserve">Probability-Weighted Return ($M)</t>
  </si>
  <si>
    <t xml:space="preserve">SENSITIVITY &amp; SCENARIO ANALYSIS</t>
  </si>
  <si>
    <t xml:space="preserve">TWO-WAY DATA TABLE: EQUITY IRR</t>
  </si>
  <si>
    <t xml:space="preserve">Revenue Growth →</t>
  </si>
  <si>
    <t xml:space="preserve">OPEX % ↓</t>
  </si>
  <si>
    <t xml:space="preserve">TORNADO CHART DATA — KEY DRIVER SENSITIVITIES</t>
  </si>
  <si>
    <t xml:space="preserve">Variable</t>
  </si>
  <si>
    <t xml:space="preserve">Low Value</t>
  </si>
  <si>
    <t xml:space="preserve">Base Value</t>
  </si>
  <si>
    <t xml:space="preserve">High Value</t>
  </si>
  <si>
    <t xml:space="preserve">IRR at Low</t>
  </si>
  <si>
    <t xml:space="preserve">IRR at High</t>
  </si>
  <si>
    <t xml:space="preserve">IRR Swing</t>
  </si>
  <si>
    <t xml:space="preserve">Commodity Price (±20%)</t>
  </si>
  <si>
    <t xml:space="preserve">calc</t>
  </si>
  <si>
    <t xml:space="preserve">FX Depreciation Rate</t>
  </si>
  <si>
    <t xml:space="preserve">OPEX as % Revenue</t>
  </si>
  <si>
    <t xml:space="preserve">Utilization Rate</t>
  </si>
  <si>
    <t xml:space="preserve">Senior Debt Rate</t>
  </si>
  <si>
    <t xml:space="preserve">Construction Overrun (%)</t>
  </si>
  <si>
    <t xml:space="preserve">Tax Rate</t>
  </si>
  <si>
    <t xml:space="preserve">Exit Multiple</t>
  </si>
  <si>
    <t xml:space="preserve">SCENARIO SUMMARY TABLE</t>
  </si>
  <si>
    <t xml:space="preserve">Scenario</t>
  </si>
  <si>
    <t xml:space="preserve">Project IRR</t>
  </si>
  <si>
    <t xml:space="preserve">Equity IRR</t>
  </si>
  <si>
    <t xml:space="preserve">DSCR (Min)</t>
  </si>
  <si>
    <t xml:space="preserve">NPV ($M)</t>
  </si>
  <si>
    <t xml:space="preserve">[scenario calc]</t>
  </si>
  <si>
    <t xml:space="preserve">Downside: Low Commodity + High FX</t>
  </si>
  <si>
    <t xml:space="preserve">Downside: Construction Delay + Cost Overrun</t>
  </si>
  <si>
    <t xml:space="preserve">Upside: High Utilization + Favorable FX</t>
  </si>
  <si>
    <t xml:space="preserve">Stress: Combined Adverse Scenario</t>
  </si>
  <si>
    <t xml:space="preserve">Blue Sky: Full Capacity + Bull Commodity</t>
  </si>
  <si>
    <t xml:space="preserve">IMPACT METRICS &amp; IRIS+ ALIGNMENT</t>
  </si>
  <si>
    <t xml:space="preserve">IMPACT KPIs — LINKED TO CARRIED INTEREST</t>
  </si>
  <si>
    <t xml:space="preserve">Impact Metric</t>
  </si>
  <si>
    <t xml:space="preserve">Target</t>
  </si>
  <si>
    <t xml:space="preserve">Threshold</t>
  </si>
  <si>
    <t xml:space="preserve">Achieved</t>
  </si>
  <si>
    <t xml:space="preserve">IRIS+ Code</t>
  </si>
  <si>
    <t xml:space="preserve">Direct Jobs Created (#)</t>
  </si>
  <si>
    <t xml:space="preserve">PI1439</t>
  </si>
  <si>
    <t xml:space="preserve">Local Procurement (% of total spend)</t>
  </si>
  <si>
    <t xml:space="preserve">PI2822</t>
  </si>
  <si>
    <t xml:space="preserve">CO2 Emissions Avoided (tCO2e/yr)</t>
  </si>
  <si>
    <t xml:space="preserve">PI1479</t>
  </si>
  <si>
    <t xml:space="preserve">Community Health Beneficiaries (#)</t>
  </si>
  <si>
    <t xml:space="preserve">PI8718</t>
  </si>
  <si>
    <t xml:space="preserve">Women in Workforce (%)</t>
  </si>
  <si>
    <t xml:space="preserve">PI4060</t>
  </si>
  <si>
    <t xml:space="preserve">Skills Training Graduates (#)</t>
  </si>
  <si>
    <t xml:space="preserve">PI3687</t>
  </si>
  <si>
    <t xml:space="preserve">Water Efficiency Improvement (%)</t>
  </si>
  <si>
    <t xml:space="preserve">PI2094</t>
  </si>
  <si>
    <t xml:space="preserve">Local Tax Revenue Generated ($M/yr)</t>
  </si>
  <si>
    <t xml:space="preserve">PI6424</t>
  </si>
  <si>
    <t xml:space="preserve">Energy Access Connections (#)</t>
  </si>
  <si>
    <t xml:space="preserve">PI2564</t>
  </si>
  <si>
    <t xml:space="preserve">Biodiversity Net Gain (hectares)</t>
  </si>
  <si>
    <t xml:space="preserve">PI8838</t>
  </si>
  <si>
    <t xml:space="preserve">IMPACT-LINKED CARRY MECHANISM</t>
  </si>
  <si>
    <t xml:space="preserve">Base Carried Interest</t>
  </si>
  <si>
    <t xml:space="preserve">Impact-Linked Portion (% of carry)</t>
  </si>
  <si>
    <t xml:space="preserve">Impact Score (0-100%)</t>
  </si>
  <si>
    <t xml:space="preserve">Adjusted Carry Rate</t>
  </si>
  <si>
    <t xml:space="preserve">Impact Bonus / Malus ($M)</t>
  </si>
  <si>
    <t xml:space="preserve">UN SDG ALIGNMENT</t>
  </si>
  <si>
    <t xml:space="preserve">SDG</t>
  </si>
  <si>
    <t xml:space="preserve">Alignment</t>
  </si>
  <si>
    <t xml:space="preserve">SDG 7: Affordable &amp; Clean Energy</t>
  </si>
  <si>
    <t xml:space="preserve">Primary</t>
  </si>
  <si>
    <t xml:space="preserve">SDG 8: Decent Work &amp; Economic Growth</t>
  </si>
  <si>
    <t xml:space="preserve">SDG 9: Industry, Innovation &amp; Infrastructure</t>
  </si>
  <si>
    <t xml:space="preserve">SDG 11: Sustainable Cities &amp; Communities</t>
  </si>
  <si>
    <t xml:space="preserve">Secondary</t>
  </si>
  <si>
    <t xml:space="preserve">SDG 12: Responsible Consumption &amp; Production</t>
  </si>
  <si>
    <t xml:space="preserve">SDG 13: Climate Action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</si>
</sst>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#,##0;\(#,##0\);\-"/>
    <numFmt numFmtId="167" formatCode="\$#,##0.0;&quot;($&quot;#,##0.0\);\-"/>
    <numFmt numFmtId="168" formatCode="0.00\x"/>
    <numFmt numFmtId="169" formatCode="\$#,##0;&quot;($&quot;#,##0\);\-"/>
    <numFmt numFmtId="170" formatCode="0"/>
    <numFmt numFmtId="171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F33"/>
      <name val="Arial"/>
      <family val="0"/>
      <charset val="1"/>
    </font>
    <font>
      <sz val="14"/>
      <color rgb="FFB87333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0B1F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F33"/>
        <bgColor rgb="FF002060"/>
      </patternFill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CE6F1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B87333"/>
      <rgbColor rgb="FF9999FF"/>
      <rgbColor rgb="FF7030A0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BF8F00"/>
      <rgbColor rgb="FFC55A11"/>
      <rgbColor rgb="FF666666"/>
      <rgbColor rgb="FF969696"/>
      <rgbColor rgb="FF002060"/>
      <rgbColor rgb="FF00B050"/>
      <rgbColor rgb="FF0B1F33"/>
      <rgbColor rgb="FF333300"/>
      <rgbColor rgb="FF83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3"/>
    <pageSetUpPr fitToPage="false"/>
  </sheetPr>
  <dimension ref="B2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4" min="4" style="1" width="20"/>
  </cols>
  <sheetData>
    <row r="2" customFormat="false" ht="21.75" hidden="false" customHeight="true" outlineLevel="0" collapsed="false">
      <c r="B2" s="2" t="s">
        <v>0</v>
      </c>
      <c r="C2" s="2"/>
    </row>
    <row r="3" customFormat="false" ht="17.25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4"/>
    </row>
    <row r="8" customFormat="false" ht="15" hidden="false" customHeight="true" outlineLevel="0" collapsed="false">
      <c r="B8" s="5"/>
      <c r="C8" s="5"/>
    </row>
    <row r="9" customFormat="false" ht="15" hidden="false" customHeight="true" outlineLevel="0" collapsed="false">
      <c r="B9" s="6" t="s">
        <v>3</v>
      </c>
      <c r="C9" s="5"/>
    </row>
    <row r="10" customFormat="false" ht="15" hidden="false" customHeight="true" outlineLevel="0" collapsed="false">
      <c r="B10" s="7" t="s">
        <v>4</v>
      </c>
      <c r="C10" s="5" t="s">
        <v>5</v>
      </c>
    </row>
    <row r="11" customFormat="false" ht="15" hidden="false" customHeight="true" outlineLevel="0" collapsed="false">
      <c r="B11" s="5" t="s">
        <v>6</v>
      </c>
      <c r="C11" s="5" t="s">
        <v>7</v>
      </c>
    </row>
    <row r="12" customFormat="false" ht="15" hidden="false" customHeight="true" outlineLevel="0" collapsed="false">
      <c r="B12" s="5" t="s">
        <v>8</v>
      </c>
      <c r="C12" s="5" t="s">
        <v>9</v>
      </c>
    </row>
    <row r="13" customFormat="false" ht="15" hidden="false" customHeight="true" outlineLevel="0" collapsed="false">
      <c r="B13" s="5" t="s">
        <v>10</v>
      </c>
      <c r="C13" s="5" t="s">
        <v>11</v>
      </c>
    </row>
    <row r="14" customFormat="false" ht="15" hidden="false" customHeight="true" outlineLevel="0" collapsed="false">
      <c r="B14" s="5" t="s">
        <v>12</v>
      </c>
      <c r="C14" s="5" t="s">
        <v>13</v>
      </c>
    </row>
    <row r="15" customFormat="false" ht="15" hidden="false" customHeight="true" outlineLevel="0" collapsed="false">
      <c r="B15" s="5" t="s">
        <v>14</v>
      </c>
      <c r="C15" s="5" t="s">
        <v>15</v>
      </c>
    </row>
    <row r="16" customFormat="false" ht="15" hidden="false" customHeight="true" outlineLevel="0" collapsed="false">
      <c r="B16" s="5" t="s">
        <v>16</v>
      </c>
      <c r="C16" s="5" t="s">
        <v>17</v>
      </c>
    </row>
    <row r="17" customFormat="false" ht="15" hidden="false" customHeight="true" outlineLevel="0" collapsed="false">
      <c r="B17" s="5" t="s">
        <v>18</v>
      </c>
      <c r="C17" s="5" t="s">
        <v>19</v>
      </c>
    </row>
    <row r="18" customFormat="false" ht="15" hidden="false" customHeight="true" outlineLevel="0" collapsed="false">
      <c r="B18" s="5" t="s">
        <v>20</v>
      </c>
      <c r="C18" s="5" t="s">
        <v>21</v>
      </c>
    </row>
    <row r="19" customFormat="false" ht="15" hidden="false" customHeight="true" outlineLevel="0" collapsed="false">
      <c r="B19" s="5" t="s">
        <v>22</v>
      </c>
      <c r="C19" s="5" t="s">
        <v>23</v>
      </c>
    </row>
    <row r="20" customFormat="false" ht="15" hidden="false" customHeight="true" outlineLevel="0" collapsed="false">
      <c r="B20" s="5" t="s">
        <v>24</v>
      </c>
      <c r="C20" s="5" t="s">
        <v>25</v>
      </c>
    </row>
    <row r="21" customFormat="false" ht="15" hidden="false" customHeight="true" outlineLevel="0" collapsed="false">
      <c r="B21" s="5" t="s">
        <v>26</v>
      </c>
      <c r="C21" s="5" t="s">
        <v>27</v>
      </c>
    </row>
    <row r="22" customFormat="false" ht="15" hidden="false" customHeight="true" outlineLevel="0" collapsed="false">
      <c r="B22" s="5" t="s">
        <v>28</v>
      </c>
      <c r="C22" s="5" t="s">
        <v>29</v>
      </c>
    </row>
    <row r="23" customFormat="false" ht="15" hidden="false" customHeight="true" outlineLevel="0" collapsed="false">
      <c r="B23" s="5"/>
      <c r="C23" s="5"/>
    </row>
    <row r="24" customFormat="false" ht="15" hidden="false" customHeight="true" outlineLevel="0" collapsed="false">
      <c r="B24" s="6" t="s">
        <v>30</v>
      </c>
      <c r="C24" s="5"/>
    </row>
    <row r="25" customFormat="false" ht="15" hidden="false" customHeight="true" outlineLevel="0" collapsed="false">
      <c r="B25" s="7" t="s">
        <v>31</v>
      </c>
      <c r="C25" s="5" t="s">
        <v>32</v>
      </c>
    </row>
    <row r="26" customFormat="false" ht="15" hidden="false" customHeight="true" outlineLevel="0" collapsed="false">
      <c r="B26" s="7" t="s">
        <v>33</v>
      </c>
      <c r="C26" s="5" t="s">
        <v>34</v>
      </c>
    </row>
    <row r="27" customFormat="false" ht="15" hidden="false" customHeight="true" outlineLevel="0" collapsed="false">
      <c r="B27" s="7" t="s">
        <v>35</v>
      </c>
      <c r="C27" s="5" t="s">
        <v>36</v>
      </c>
    </row>
    <row r="28" customFormat="false" ht="15" hidden="false" customHeight="true" outlineLevel="0" collapsed="false">
      <c r="B28" s="7" t="s">
        <v>37</v>
      </c>
      <c r="C28" s="5" t="s">
        <v>38</v>
      </c>
    </row>
  </sheetData>
  <mergeCells count="3">
    <mergeCell ref="B2:C2"/>
    <mergeCell ref="B3:C3"/>
    <mergeCell ref="B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7" min="3" style="1" width="18"/>
    <col collapsed="false" customWidth="true" hidden="false" outlineLevel="0" max="8" min="8" style="1" width="3"/>
  </cols>
  <sheetData>
    <row r="1" customFormat="false" ht="17.25" hidden="false" customHeight="true" outlineLevel="0" collapsed="false">
      <c r="B1" s="8" t="s">
        <v>39</v>
      </c>
      <c r="C1" s="8"/>
      <c r="D1" s="8"/>
      <c r="E1" s="8"/>
      <c r="F1" s="8"/>
    </row>
    <row r="3" customFormat="false" ht="15" hidden="false" customHeight="true" outlineLevel="0" collapsed="false">
      <c r="A3" s="9"/>
      <c r="B3" s="10" t="s">
        <v>40</v>
      </c>
      <c r="C3" s="9"/>
      <c r="D3" s="9"/>
      <c r="E3" s="9"/>
      <c r="F3" s="9"/>
    </row>
    <row r="4" customFormat="false" ht="15" hidden="false" customHeight="true" outlineLevel="0" collapsed="false">
      <c r="B4" s="5" t="s">
        <v>41</v>
      </c>
      <c r="C4" s="11" t="n">
        <v>1</v>
      </c>
    </row>
    <row r="5" customFormat="false" ht="15" hidden="false" customHeight="true" outlineLevel="0" collapsed="false">
      <c r="B5" s="12" t="s">
        <v>42</v>
      </c>
      <c r="C5" s="12" t="s">
        <v>43</v>
      </c>
    </row>
    <row r="6" customFormat="false" ht="15" hidden="false" customHeight="true" outlineLevel="0" collapsed="false">
      <c r="B6" s="12" t="s">
        <v>44</v>
      </c>
      <c r="C6" s="12" t="s">
        <v>45</v>
      </c>
    </row>
    <row r="7" customFormat="false" ht="15" hidden="false" customHeight="true" outlineLevel="0" collapsed="false">
      <c r="B7" s="12" t="s">
        <v>46</v>
      </c>
      <c r="C7" s="12" t="s">
        <v>47</v>
      </c>
    </row>
    <row r="8" customFormat="false" ht="15" hidden="false" customHeight="true" outlineLevel="0" collapsed="false">
      <c r="B8" s="12" t="s">
        <v>48</v>
      </c>
      <c r="C8" s="12" t="s">
        <v>49</v>
      </c>
    </row>
    <row r="9" customFormat="false" ht="15" hidden="false" customHeight="true" outlineLevel="0" collapsed="false">
      <c r="B9" s="12" t="s">
        <v>50</v>
      </c>
      <c r="C9" s="12" t="s">
        <v>51</v>
      </c>
    </row>
    <row r="10" customFormat="false" ht="15" hidden="false" customHeight="true" outlineLevel="0" collapsed="false">
      <c r="B10" s="12" t="s">
        <v>52</v>
      </c>
      <c r="C10" s="12" t="s">
        <v>53</v>
      </c>
    </row>
    <row r="12" customFormat="false" ht="15" hidden="false" customHeight="true" outlineLevel="0" collapsed="false">
      <c r="A12" s="9"/>
      <c r="B12" s="10" t="s">
        <v>54</v>
      </c>
      <c r="C12" s="9"/>
      <c r="D12" s="9"/>
      <c r="E12" s="9"/>
      <c r="F12" s="9"/>
    </row>
    <row r="13" customFormat="false" ht="15" hidden="false" customHeight="true" outlineLevel="0" collapsed="false">
      <c r="B13" s="13" t="s">
        <v>55</v>
      </c>
      <c r="C13" s="13" t="s">
        <v>56</v>
      </c>
      <c r="D13" s="13" t="s">
        <v>57</v>
      </c>
      <c r="E13" s="13" t="s">
        <v>58</v>
      </c>
      <c r="F13" s="13" t="s">
        <v>59</v>
      </c>
    </row>
    <row r="14" customFormat="false" ht="15" hidden="false" customHeight="true" outlineLevel="0" collapsed="false">
      <c r="B14" s="5" t="s">
        <v>60</v>
      </c>
      <c r="C14" s="14" t="n">
        <v>0.045</v>
      </c>
      <c r="D14" s="14" t="n">
        <v>0.065</v>
      </c>
      <c r="E14" s="14" t="n">
        <v>0.03</v>
      </c>
      <c r="F14" s="12" t="s">
        <v>61</v>
      </c>
    </row>
    <row r="15" customFormat="false" ht="15" hidden="false" customHeight="true" outlineLevel="0" collapsed="false">
      <c r="B15" s="5" t="s">
        <v>62</v>
      </c>
      <c r="C15" s="15" t="n">
        <v>350</v>
      </c>
      <c r="D15" s="15" t="n">
        <v>550</v>
      </c>
      <c r="E15" s="15" t="n">
        <v>200</v>
      </c>
      <c r="F15" s="12" t="s">
        <v>63</v>
      </c>
    </row>
    <row r="16" customFormat="false" ht="15" hidden="false" customHeight="true" outlineLevel="0" collapsed="false">
      <c r="B16" s="5" t="s">
        <v>64</v>
      </c>
      <c r="C16" s="14" t="n">
        <v>0.07</v>
      </c>
      <c r="D16" s="14" t="n">
        <v>0.12</v>
      </c>
      <c r="E16" s="14" t="n">
        <v>0.04</v>
      </c>
      <c r="F16" s="12" t="s">
        <v>61</v>
      </c>
    </row>
    <row r="17" customFormat="false" ht="15" hidden="false" customHeight="true" outlineLevel="0" collapsed="false">
      <c r="B17" s="5" t="s">
        <v>65</v>
      </c>
      <c r="C17" s="14" t="n">
        <v>0.025</v>
      </c>
      <c r="D17" s="14" t="n">
        <v>0.04</v>
      </c>
      <c r="E17" s="14" t="n">
        <v>0.02</v>
      </c>
      <c r="F17" s="12" t="s">
        <v>61</v>
      </c>
    </row>
    <row r="18" customFormat="false" ht="15" hidden="false" customHeight="true" outlineLevel="0" collapsed="false">
      <c r="B18" s="5" t="s">
        <v>66</v>
      </c>
      <c r="C18" s="14" t="n">
        <v>0.05</v>
      </c>
      <c r="D18" s="14" t="n">
        <v>0.1</v>
      </c>
      <c r="E18" s="14" t="n">
        <v>0.02</v>
      </c>
      <c r="F18" s="12" t="s">
        <v>61</v>
      </c>
    </row>
    <row r="19" customFormat="false" ht="15" hidden="false" customHeight="true" outlineLevel="0" collapsed="false">
      <c r="B19" s="5" t="s">
        <v>67</v>
      </c>
      <c r="C19" s="14" t="n">
        <v>0.015</v>
      </c>
      <c r="D19" s="14" t="n">
        <v>0.025</v>
      </c>
      <c r="E19" s="14" t="n">
        <v>0.01</v>
      </c>
      <c r="F19" s="12" t="s">
        <v>61</v>
      </c>
    </row>
    <row r="20" customFormat="false" ht="15" hidden="false" customHeight="true" outlineLevel="0" collapsed="false">
      <c r="B20" s="5" t="s">
        <v>68</v>
      </c>
      <c r="C20" s="14" t="n">
        <v>0.3</v>
      </c>
      <c r="D20" s="14" t="n">
        <v>0.35</v>
      </c>
      <c r="E20" s="14" t="n">
        <v>0.25</v>
      </c>
      <c r="F20" s="12" t="s">
        <v>61</v>
      </c>
    </row>
    <row r="21" customFormat="false" ht="15" hidden="false" customHeight="true" outlineLevel="0" collapsed="false">
      <c r="B21" s="5" t="s">
        <v>69</v>
      </c>
      <c r="C21" s="14" t="n">
        <v>0.1</v>
      </c>
      <c r="D21" s="14" t="n">
        <v>0.15</v>
      </c>
      <c r="E21" s="14" t="n">
        <v>0.05</v>
      </c>
      <c r="F21" s="12" t="s">
        <v>61</v>
      </c>
    </row>
    <row r="22" customFormat="false" ht="15" hidden="false" customHeight="true" outlineLevel="0" collapsed="false">
      <c r="B22" s="5" t="s">
        <v>70</v>
      </c>
      <c r="C22" s="14" t="n">
        <v>0.16</v>
      </c>
      <c r="D22" s="14" t="n">
        <v>0.18</v>
      </c>
      <c r="E22" s="14" t="n">
        <v>0.14</v>
      </c>
      <c r="F22" s="12" t="s">
        <v>61</v>
      </c>
    </row>
    <row r="23" customFormat="false" ht="15" hidden="false" customHeight="true" outlineLevel="0" collapsed="false">
      <c r="B23" s="5" t="s">
        <v>71</v>
      </c>
      <c r="C23" s="15" t="n">
        <v>5</v>
      </c>
      <c r="D23" s="15" t="n">
        <v>0</v>
      </c>
      <c r="E23" s="15" t="n">
        <v>10</v>
      </c>
      <c r="F23" s="12" t="s">
        <v>72</v>
      </c>
    </row>
    <row r="24" customFormat="false" ht="15" hidden="false" customHeight="true" outlineLevel="0" collapsed="false">
      <c r="B24" s="5" t="s">
        <v>73</v>
      </c>
      <c r="C24" s="14" t="n">
        <v>0.045</v>
      </c>
      <c r="D24" s="14" t="n">
        <v>0.055</v>
      </c>
      <c r="E24" s="14" t="n">
        <v>0.035</v>
      </c>
      <c r="F24" s="12" t="s">
        <v>61</v>
      </c>
    </row>
    <row r="25" customFormat="false" ht="15" hidden="false" customHeight="true" outlineLevel="0" collapsed="false">
      <c r="B25" s="5" t="s">
        <v>74</v>
      </c>
      <c r="C25" s="14" t="n">
        <v>0.065</v>
      </c>
      <c r="D25" s="14" t="n">
        <v>0.085</v>
      </c>
      <c r="E25" s="14" t="n">
        <v>0.05</v>
      </c>
      <c r="F25" s="12" t="s">
        <v>61</v>
      </c>
    </row>
    <row r="26" customFormat="false" ht="15" hidden="false" customHeight="true" outlineLevel="0" collapsed="false">
      <c r="B26" s="5" t="s">
        <v>75</v>
      </c>
      <c r="C26" s="14" t="n">
        <v>0.17</v>
      </c>
      <c r="D26" s="14" t="n">
        <v>0.13</v>
      </c>
      <c r="E26" s="14" t="n">
        <v>0.22</v>
      </c>
      <c r="F26" s="12" t="s">
        <v>61</v>
      </c>
    </row>
    <row r="28" customFormat="false" ht="15" hidden="false" customHeight="true" outlineLevel="0" collapsed="false">
      <c r="A28" s="9"/>
      <c r="B28" s="10" t="s">
        <v>76</v>
      </c>
      <c r="C28" s="9"/>
      <c r="D28" s="9"/>
      <c r="E28" s="9"/>
      <c r="F28" s="9"/>
    </row>
    <row r="29" customFormat="false" ht="15" hidden="false" customHeight="true" outlineLevel="0" collapsed="false">
      <c r="B29" s="13" t="s">
        <v>55</v>
      </c>
      <c r="C29" s="13" t="s">
        <v>56</v>
      </c>
      <c r="D29" s="13" t="s">
        <v>57</v>
      </c>
      <c r="E29" s="13" t="s">
        <v>58</v>
      </c>
      <c r="F29" s="13" t="s">
        <v>59</v>
      </c>
    </row>
    <row r="30" customFormat="false" ht="15" hidden="false" customHeight="true" outlineLevel="0" collapsed="false">
      <c r="B30" s="5" t="s">
        <v>77</v>
      </c>
      <c r="C30" s="16" t="n">
        <v>50</v>
      </c>
      <c r="D30" s="16" t="n">
        <v>30</v>
      </c>
      <c r="E30" s="16" t="n">
        <v>100</v>
      </c>
      <c r="F30" s="12" t="s">
        <v>78</v>
      </c>
    </row>
    <row r="31" customFormat="false" ht="15" hidden="false" customHeight="true" outlineLevel="0" collapsed="false">
      <c r="B31" s="5" t="s">
        <v>79</v>
      </c>
      <c r="C31" s="15" t="n">
        <v>24</v>
      </c>
      <c r="D31" s="15" t="n">
        <v>36</v>
      </c>
      <c r="E31" s="15" t="n">
        <v>18</v>
      </c>
      <c r="F31" s="12" t="s">
        <v>80</v>
      </c>
    </row>
    <row r="32" customFormat="false" ht="15" hidden="false" customHeight="true" outlineLevel="0" collapsed="false">
      <c r="B32" s="5" t="s">
        <v>81</v>
      </c>
      <c r="C32" s="15" t="n">
        <v>20</v>
      </c>
      <c r="D32" s="15" t="n">
        <v>15</v>
      </c>
      <c r="E32" s="15" t="n">
        <v>25</v>
      </c>
      <c r="F32" s="12" t="s">
        <v>72</v>
      </c>
    </row>
    <row r="33" customFormat="false" ht="15" hidden="false" customHeight="true" outlineLevel="0" collapsed="false">
      <c r="B33" s="5" t="s">
        <v>82</v>
      </c>
      <c r="C33" s="16" t="n">
        <v>15</v>
      </c>
      <c r="D33" s="16" t="n">
        <v>8</v>
      </c>
      <c r="E33" s="16" t="n">
        <v>25</v>
      </c>
      <c r="F33" s="12" t="s">
        <v>78</v>
      </c>
    </row>
    <row r="34" customFormat="false" ht="15" hidden="false" customHeight="true" outlineLevel="0" collapsed="false">
      <c r="B34" s="5" t="s">
        <v>83</v>
      </c>
      <c r="C34" s="14" t="n">
        <v>0.3</v>
      </c>
      <c r="D34" s="14" t="n">
        <v>0.2</v>
      </c>
      <c r="E34" s="14" t="n">
        <v>0.49</v>
      </c>
      <c r="F34" s="12" t="s">
        <v>61</v>
      </c>
    </row>
    <row r="35" customFormat="false" ht="15" hidden="false" customHeight="true" outlineLevel="0" collapsed="false">
      <c r="B35" s="5" t="s">
        <v>84</v>
      </c>
      <c r="C35" s="15" t="n">
        <v>3</v>
      </c>
      <c r="D35" s="15" t="n">
        <v>5</v>
      </c>
      <c r="E35" s="15" t="n">
        <v>2</v>
      </c>
      <c r="F35" s="12" t="s">
        <v>72</v>
      </c>
    </row>
    <row r="36" customFormat="false" ht="15" hidden="false" customHeight="true" outlineLevel="0" collapsed="false">
      <c r="B36" s="5" t="s">
        <v>85</v>
      </c>
      <c r="C36" s="14" t="n">
        <v>0.85</v>
      </c>
      <c r="D36" s="14" t="n">
        <v>0.7</v>
      </c>
      <c r="E36" s="14" t="n">
        <v>0.95</v>
      </c>
      <c r="F36" s="12" t="s">
        <v>61</v>
      </c>
    </row>
    <row r="37" customFormat="false" ht="15" hidden="false" customHeight="true" outlineLevel="0" collapsed="false">
      <c r="B37" s="5" t="s">
        <v>86</v>
      </c>
      <c r="C37" s="16" t="n">
        <v>25</v>
      </c>
      <c r="D37" s="16" t="n">
        <v>15</v>
      </c>
      <c r="E37" s="16" t="n">
        <v>40</v>
      </c>
      <c r="F37" s="12" t="s">
        <v>78</v>
      </c>
    </row>
    <row r="38" customFormat="false" ht="15" hidden="false" customHeight="true" outlineLevel="0" collapsed="false">
      <c r="B38" s="5" t="s">
        <v>87</v>
      </c>
      <c r="C38" s="14" t="n">
        <v>0.45</v>
      </c>
      <c r="D38" s="14" t="n">
        <v>0.55</v>
      </c>
      <c r="E38" s="14" t="n">
        <v>0.35</v>
      </c>
      <c r="F38" s="12" t="s">
        <v>61</v>
      </c>
    </row>
    <row r="39" customFormat="false" ht="15" hidden="false" customHeight="true" outlineLevel="0" collapsed="false">
      <c r="B39" s="5" t="s">
        <v>88</v>
      </c>
      <c r="C39" s="14" t="n">
        <v>0.04</v>
      </c>
      <c r="D39" s="14" t="n">
        <v>0.07</v>
      </c>
      <c r="E39" s="14" t="n">
        <v>0.025</v>
      </c>
      <c r="F39" s="12" t="s">
        <v>61</v>
      </c>
    </row>
    <row r="40" customFormat="false" ht="15" hidden="false" customHeight="true" outlineLevel="0" collapsed="false">
      <c r="B40" s="5" t="s">
        <v>89</v>
      </c>
      <c r="C40" s="14" t="n">
        <v>0.02</v>
      </c>
      <c r="D40" s="14" t="n">
        <v>0.035</v>
      </c>
      <c r="E40" s="14" t="n">
        <v>0.015</v>
      </c>
      <c r="F40" s="12" t="s">
        <v>61</v>
      </c>
    </row>
    <row r="41" customFormat="false" ht="15" hidden="false" customHeight="true" outlineLevel="0" collapsed="false">
      <c r="B41" s="5" t="s">
        <v>90</v>
      </c>
      <c r="C41" s="15" t="n">
        <v>60</v>
      </c>
      <c r="D41" s="15" t="n">
        <v>90</v>
      </c>
      <c r="E41" s="15" t="n">
        <v>45</v>
      </c>
      <c r="F41" s="12" t="s">
        <v>91</v>
      </c>
    </row>
    <row r="42" customFormat="false" ht="15" hidden="false" customHeight="true" outlineLevel="0" collapsed="false">
      <c r="B42" s="5" t="s">
        <v>92</v>
      </c>
      <c r="C42" s="14" t="n">
        <v>0.1</v>
      </c>
      <c r="D42" s="14" t="n">
        <v>0.15</v>
      </c>
      <c r="E42" s="14" t="n">
        <v>0.05</v>
      </c>
      <c r="F42" s="12" t="s">
        <v>61</v>
      </c>
    </row>
    <row r="44" customFormat="false" ht="15" hidden="false" customHeight="true" outlineLevel="0" collapsed="false">
      <c r="A44" s="9"/>
      <c r="B44" s="10" t="s">
        <v>93</v>
      </c>
      <c r="C44" s="9"/>
      <c r="D44" s="9"/>
      <c r="E44" s="9"/>
      <c r="F44" s="9"/>
    </row>
    <row r="45" customFormat="false" ht="15" hidden="false" customHeight="true" outlineLevel="0" collapsed="false">
      <c r="B45" s="13" t="s">
        <v>55</v>
      </c>
      <c r="C45" s="13" t="s">
        <v>56</v>
      </c>
      <c r="D45" s="13" t="s">
        <v>57</v>
      </c>
      <c r="E45" s="13" t="s">
        <v>58</v>
      </c>
      <c r="F45" s="13" t="s">
        <v>59</v>
      </c>
    </row>
    <row r="46" customFormat="false" ht="15" hidden="false" customHeight="true" outlineLevel="0" collapsed="false">
      <c r="B46" s="5" t="s">
        <v>94</v>
      </c>
      <c r="C46" s="14" t="n">
        <v>0.55</v>
      </c>
      <c r="D46" s="14" t="n">
        <v>0.45</v>
      </c>
      <c r="E46" s="14" t="n">
        <v>0.65</v>
      </c>
      <c r="F46" s="12" t="s">
        <v>61</v>
      </c>
    </row>
    <row r="47" customFormat="false" ht="15" hidden="false" customHeight="true" outlineLevel="0" collapsed="false">
      <c r="B47" s="5" t="s">
        <v>95</v>
      </c>
      <c r="C47" s="15" t="n">
        <v>12</v>
      </c>
      <c r="D47" s="15" t="n">
        <v>10</v>
      </c>
      <c r="E47" s="15" t="n">
        <v>15</v>
      </c>
      <c r="F47" s="12" t="s">
        <v>72</v>
      </c>
    </row>
    <row r="48" customFormat="false" ht="15" hidden="false" customHeight="true" outlineLevel="0" collapsed="false">
      <c r="B48" s="5" t="s">
        <v>96</v>
      </c>
      <c r="C48" s="14" t="n">
        <v>0.085</v>
      </c>
      <c r="D48" s="14" t="n">
        <v>0.1</v>
      </c>
      <c r="E48" s="14" t="n">
        <v>0.07</v>
      </c>
      <c r="F48" s="12" t="s">
        <v>61</v>
      </c>
    </row>
    <row r="49" customFormat="false" ht="15" hidden="false" customHeight="true" outlineLevel="0" collapsed="false">
      <c r="B49" s="5" t="s">
        <v>97</v>
      </c>
      <c r="C49" s="15" t="n">
        <v>2</v>
      </c>
      <c r="D49" s="15" t="n">
        <v>1</v>
      </c>
      <c r="E49" s="15" t="n">
        <v>3</v>
      </c>
      <c r="F49" s="12" t="s">
        <v>72</v>
      </c>
    </row>
    <row r="50" customFormat="false" ht="15" hidden="false" customHeight="true" outlineLevel="0" collapsed="false">
      <c r="B50" s="5" t="s">
        <v>98</v>
      </c>
      <c r="C50" s="14" t="n">
        <v>0.1</v>
      </c>
      <c r="D50" s="14" t="n">
        <v>0.05</v>
      </c>
      <c r="E50" s="14" t="n">
        <v>0.15</v>
      </c>
      <c r="F50" s="12" t="s">
        <v>61</v>
      </c>
    </row>
    <row r="51" customFormat="false" ht="15" hidden="false" customHeight="true" outlineLevel="0" collapsed="false">
      <c r="B51" s="5" t="s">
        <v>99</v>
      </c>
      <c r="C51" s="14" t="n">
        <v>0.13</v>
      </c>
      <c r="D51" s="14" t="n">
        <v>0.15</v>
      </c>
      <c r="E51" s="14" t="n">
        <v>0.11</v>
      </c>
      <c r="F51" s="12" t="s">
        <v>61</v>
      </c>
    </row>
    <row r="52" customFormat="false" ht="15" hidden="false" customHeight="true" outlineLevel="0" collapsed="false">
      <c r="B52" s="5" t="s">
        <v>100</v>
      </c>
      <c r="C52" s="14" t="n">
        <v>0.1</v>
      </c>
      <c r="D52" s="14" t="n">
        <v>0.05</v>
      </c>
      <c r="E52" s="14" t="n">
        <v>0.15</v>
      </c>
      <c r="F52" s="12" t="s">
        <v>61</v>
      </c>
    </row>
    <row r="53" customFormat="false" ht="15" hidden="false" customHeight="true" outlineLevel="0" collapsed="false">
      <c r="B53" s="5" t="s">
        <v>101</v>
      </c>
      <c r="C53" s="14" t="n">
        <v>0.04</v>
      </c>
      <c r="D53" s="14" t="n">
        <v>0.05</v>
      </c>
      <c r="E53" s="14" t="n">
        <v>0.03</v>
      </c>
      <c r="F53" s="12" t="s">
        <v>61</v>
      </c>
    </row>
    <row r="54" customFormat="false" ht="15" hidden="false" customHeight="true" outlineLevel="0" collapsed="false">
      <c r="B54" s="5" t="s">
        <v>102</v>
      </c>
      <c r="C54" s="15" t="n">
        <v>20</v>
      </c>
      <c r="D54" s="15" t="n">
        <v>15</v>
      </c>
      <c r="E54" s="15" t="n">
        <v>25</v>
      </c>
      <c r="F54" s="12" t="s">
        <v>72</v>
      </c>
    </row>
    <row r="55" customFormat="false" ht="15" hidden="false" customHeight="true" outlineLevel="0" collapsed="false">
      <c r="B55" s="5" t="s">
        <v>103</v>
      </c>
      <c r="C55" s="14" t="n">
        <v>0.25</v>
      </c>
      <c r="D55" s="14" t="n">
        <v>0.35</v>
      </c>
      <c r="E55" s="14" t="n">
        <v>0.2</v>
      </c>
      <c r="F55" s="12" t="s">
        <v>61</v>
      </c>
    </row>
    <row r="56" customFormat="false" ht="15" hidden="false" customHeight="true" outlineLevel="0" collapsed="false">
      <c r="B56" s="5" t="s">
        <v>104</v>
      </c>
      <c r="C56" s="14" t="n">
        <v>0.02</v>
      </c>
      <c r="D56" s="14" t="n">
        <v>0.03</v>
      </c>
      <c r="E56" s="14" t="n">
        <v>0.015</v>
      </c>
      <c r="F56" s="12" t="s">
        <v>61</v>
      </c>
    </row>
    <row r="57" customFormat="false" ht="15" hidden="false" customHeight="true" outlineLevel="0" collapsed="false">
      <c r="B57" s="5" t="s">
        <v>105</v>
      </c>
      <c r="C57" s="14" t="n">
        <v>0.005</v>
      </c>
      <c r="D57" s="14" t="n">
        <v>0.0075</v>
      </c>
      <c r="E57" s="14" t="n">
        <v>0.004</v>
      </c>
      <c r="F57" s="12" t="s">
        <v>61</v>
      </c>
    </row>
    <row r="58" customFormat="false" ht="15" hidden="false" customHeight="true" outlineLevel="0" collapsed="false">
      <c r="B58" s="5" t="s">
        <v>106</v>
      </c>
      <c r="C58" s="15" t="n">
        <v>6</v>
      </c>
      <c r="D58" s="15" t="n">
        <v>6</v>
      </c>
      <c r="E58" s="15" t="n">
        <v>6</v>
      </c>
      <c r="F58" s="12" t="s">
        <v>80</v>
      </c>
    </row>
    <row r="59" customFormat="false" ht="15" hidden="false" customHeight="true" outlineLevel="0" collapsed="false">
      <c r="B59" s="5" t="s">
        <v>107</v>
      </c>
      <c r="C59" s="17" t="n">
        <v>1.3</v>
      </c>
      <c r="D59" s="17" t="n">
        <v>1.2</v>
      </c>
      <c r="E59" s="17" t="n">
        <v>1.4</v>
      </c>
      <c r="F59" s="12" t="s">
        <v>108</v>
      </c>
    </row>
    <row r="60" customFormat="false" ht="15" hidden="false" customHeight="true" outlineLevel="0" collapsed="false">
      <c r="B60" s="5" t="s">
        <v>109</v>
      </c>
      <c r="C60" s="17" t="n">
        <v>1.1</v>
      </c>
      <c r="D60" s="17" t="n">
        <v>1.05</v>
      </c>
      <c r="E60" s="17" t="n">
        <v>1.15</v>
      </c>
      <c r="F60" s="12" t="s">
        <v>108</v>
      </c>
    </row>
    <row r="62" customFormat="false" ht="15" hidden="false" customHeight="true" outlineLevel="0" collapsed="false">
      <c r="A62" s="9"/>
      <c r="B62" s="10" t="s">
        <v>110</v>
      </c>
      <c r="C62" s="9"/>
      <c r="D62" s="9"/>
      <c r="E62" s="9"/>
      <c r="F62" s="9"/>
    </row>
    <row r="63" customFormat="false" ht="15" hidden="false" customHeight="true" outlineLevel="0" collapsed="false">
      <c r="B63" s="13" t="s">
        <v>111</v>
      </c>
      <c r="C63" s="13" t="s">
        <v>56</v>
      </c>
      <c r="D63" s="13" t="s">
        <v>112</v>
      </c>
      <c r="E63" s="13" t="s">
        <v>113</v>
      </c>
      <c r="F63" s="13" t="s">
        <v>59</v>
      </c>
    </row>
    <row r="64" customFormat="false" ht="15" hidden="false" customHeight="true" outlineLevel="0" collapsed="false">
      <c r="B64" s="5" t="s">
        <v>114</v>
      </c>
      <c r="C64" s="18" t="n">
        <v>9500</v>
      </c>
      <c r="D64" s="18" t="n">
        <v>7000</v>
      </c>
      <c r="E64" s="18" t="n">
        <v>12000</v>
      </c>
      <c r="F64" s="12" t="s">
        <v>115</v>
      </c>
    </row>
    <row r="65" customFormat="false" ht="15" hidden="false" customHeight="true" outlineLevel="0" collapsed="false">
      <c r="B65" s="5" t="s">
        <v>116</v>
      </c>
      <c r="C65" s="18" t="n">
        <v>22000</v>
      </c>
      <c r="D65" s="18" t="n">
        <v>12000</v>
      </c>
      <c r="E65" s="18" t="n">
        <v>35000</v>
      </c>
      <c r="F65" s="12" t="s">
        <v>115</v>
      </c>
    </row>
    <row r="66" customFormat="false" ht="15" hidden="false" customHeight="true" outlineLevel="0" collapsed="false">
      <c r="B66" s="5" t="s">
        <v>117</v>
      </c>
      <c r="C66" s="18" t="n">
        <v>2400</v>
      </c>
      <c r="D66" s="18" t="n">
        <v>1800</v>
      </c>
      <c r="E66" s="18" t="n">
        <v>3000</v>
      </c>
      <c r="F66" s="12" t="s">
        <v>118</v>
      </c>
    </row>
    <row r="67" customFormat="false" ht="15" hidden="false" customHeight="true" outlineLevel="0" collapsed="false">
      <c r="B67" s="5" t="s">
        <v>119</v>
      </c>
      <c r="C67" s="18" t="n">
        <v>45</v>
      </c>
      <c r="D67" s="18" t="n">
        <v>30</v>
      </c>
      <c r="E67" s="18" t="n">
        <v>75</v>
      </c>
      <c r="F67" s="12" t="s">
        <v>120</v>
      </c>
    </row>
    <row r="68" customFormat="false" ht="15" hidden="false" customHeight="true" outlineLevel="0" collapsed="false">
      <c r="B68" s="5" t="s">
        <v>121</v>
      </c>
      <c r="C68" s="18" t="n">
        <v>12</v>
      </c>
      <c r="D68" s="18" t="n">
        <v>8</v>
      </c>
      <c r="E68" s="18" t="n">
        <v>18</v>
      </c>
      <c r="F68" s="12" t="s">
        <v>122</v>
      </c>
    </row>
    <row r="69" customFormat="false" ht="15" hidden="false" customHeight="true" outlineLevel="0" collapsed="false">
      <c r="B69" s="5" t="s">
        <v>123</v>
      </c>
      <c r="C69" s="18" t="n">
        <v>8</v>
      </c>
      <c r="D69" s="18" t="n">
        <v>5</v>
      </c>
      <c r="E69" s="18" t="n">
        <v>12</v>
      </c>
      <c r="F69" s="12" t="s">
        <v>122</v>
      </c>
    </row>
    <row r="70" customFormat="false" ht="15" hidden="false" customHeight="true" outlineLevel="0" collapsed="false">
      <c r="B70" s="5" t="s">
        <v>124</v>
      </c>
      <c r="C70" s="14" t="n">
        <v>0.02</v>
      </c>
      <c r="D70" s="14" t="n">
        <v>-0.01</v>
      </c>
      <c r="E70" s="14" t="n">
        <v>0.04</v>
      </c>
      <c r="F70" s="12" t="s">
        <v>61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W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23" min="4" style="1" width="14"/>
  </cols>
  <sheetData>
    <row r="1" customFormat="false" ht="17.25" hidden="false" customHeight="true" outlineLevel="0" collapsed="false">
      <c r="B1" s="8" t="s">
        <v>125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3" customFormat="false" ht="15" hidden="false" customHeight="true" outlineLevel="0" collapsed="false">
      <c r="B3" s="7" t="s">
        <v>126</v>
      </c>
      <c r="C3" s="7" t="s">
        <v>59</v>
      </c>
      <c r="D3" s="19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</row>
    <row r="4" customFormat="false" ht="15" hidden="false" customHeight="true" outlineLevel="0" collapsed="false">
      <c r="A4" s="9"/>
      <c r="B4" s="10" t="s">
        <v>127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customFormat="false" ht="15" hidden="false" customHeight="true" outlineLevel="0" collapsed="false">
      <c r="B5" s="5" t="s">
        <v>128</v>
      </c>
      <c r="C5" s="12" t="s">
        <v>61</v>
      </c>
      <c r="D5" s="20" t="n">
        <f aca="false">IF(1&lt;=Assumptions!C31/12,0,MIN(Assumptions!C36,MAX(0,1-Assumptions!C31/12)/Assumptions!C35))</f>
        <v>0</v>
      </c>
      <c r="E5" s="20" t="n">
        <f aca="false">IF(2&lt;=Assumptions!C31/12,0,MIN(Assumptions!C36,MAX(0,2-Assumptions!C31/12)/Assumptions!C35))</f>
        <v>0</v>
      </c>
      <c r="F5" s="20" t="n">
        <f aca="false">IF(3&lt;=Assumptions!C31/12,0,MIN(Assumptions!C36,MAX(0,3-Assumptions!C31/12)/Assumptions!C35))</f>
        <v>0.333333333333333</v>
      </c>
      <c r="G5" s="20" t="n">
        <f aca="false">IF(4&lt;=Assumptions!C31/12,0,MIN(Assumptions!C36,MAX(0,4-Assumptions!C31/12)/Assumptions!C35))</f>
        <v>0.666666666666667</v>
      </c>
      <c r="H5" s="20" t="n">
        <f aca="false">IF(5&lt;=Assumptions!C31/12,0,MIN(Assumptions!C36,MAX(0,5-Assumptions!C31/12)/Assumptions!C35))</f>
        <v>0.85</v>
      </c>
      <c r="I5" s="20" t="n">
        <f aca="false">IF(6&lt;=Assumptions!C31/12,0,MIN(Assumptions!C36,MAX(0,6-Assumptions!C31/12)/Assumptions!C35))</f>
        <v>0.85</v>
      </c>
      <c r="J5" s="20" t="n">
        <f aca="false">IF(7&lt;=Assumptions!C31/12,0,MIN(Assumptions!C36,MAX(0,7-Assumptions!C31/12)/Assumptions!C35))</f>
        <v>0.85</v>
      </c>
      <c r="K5" s="20" t="n">
        <f aca="false">IF(8&lt;=Assumptions!C31/12,0,MIN(Assumptions!C36,MAX(0,8-Assumptions!C31/12)/Assumptions!C35))</f>
        <v>0.85</v>
      </c>
      <c r="L5" s="20" t="n">
        <f aca="false">IF(9&lt;=Assumptions!C31/12,0,MIN(Assumptions!C36,MAX(0,9-Assumptions!C31/12)/Assumptions!C35))</f>
        <v>0.85</v>
      </c>
      <c r="M5" s="20" t="n">
        <f aca="false">IF(10&lt;=Assumptions!C31/12,0,MIN(Assumptions!C36,MAX(0,10-Assumptions!C31/12)/Assumptions!C35))</f>
        <v>0.85</v>
      </c>
      <c r="N5" s="20" t="n">
        <f aca="false">IF(11&lt;=Assumptions!C31/12,0,MIN(Assumptions!C36,MAX(0,11-Assumptions!C31/12)/Assumptions!C35))</f>
        <v>0.85</v>
      </c>
      <c r="O5" s="20" t="n">
        <f aca="false">IF(12&lt;=Assumptions!C31/12,0,MIN(Assumptions!C36,MAX(0,12-Assumptions!C31/12)/Assumptions!C35))</f>
        <v>0.85</v>
      </c>
      <c r="P5" s="20" t="n">
        <f aca="false">IF(13&lt;=Assumptions!C31/12,0,MIN(Assumptions!C36,MAX(0,13-Assumptions!C31/12)/Assumptions!C35))</f>
        <v>0.85</v>
      </c>
      <c r="Q5" s="20" t="n">
        <f aca="false">IF(14&lt;=Assumptions!C31/12,0,MIN(Assumptions!C36,MAX(0,14-Assumptions!C31/12)/Assumptions!C35))</f>
        <v>0.85</v>
      </c>
      <c r="R5" s="20" t="n">
        <f aca="false">IF(15&lt;=Assumptions!C31/12,0,MIN(Assumptions!C36,MAX(0,15-Assumptions!C31/12)/Assumptions!C35))</f>
        <v>0.85</v>
      </c>
      <c r="S5" s="20" t="n">
        <f aca="false">IF(16&lt;=Assumptions!C31/12,0,MIN(Assumptions!C36,MAX(0,16-Assumptions!C31/12)/Assumptions!C35))</f>
        <v>0.85</v>
      </c>
      <c r="T5" s="20" t="n">
        <f aca="false">IF(17&lt;=Assumptions!C31/12,0,MIN(Assumptions!C36,MAX(0,17-Assumptions!C31/12)/Assumptions!C35))</f>
        <v>0.85</v>
      </c>
      <c r="U5" s="20" t="n">
        <f aca="false">IF(18&lt;=Assumptions!C31/12,0,MIN(Assumptions!C36,MAX(0,18-Assumptions!C31/12)/Assumptions!C35))</f>
        <v>0.85</v>
      </c>
      <c r="V5" s="20" t="n">
        <f aca="false">IF(19&lt;=Assumptions!C31/12,0,MIN(Assumptions!C36,MAX(0,19-Assumptions!C31/12)/Assumptions!C35))</f>
        <v>0.85</v>
      </c>
      <c r="W5" s="20" t="n">
        <f aca="false">IF(20&lt;=Assumptions!C31/12,0,MIN(Assumptions!C36,MAX(0,20-Assumptions!C31/12)/Assumptions!C35))</f>
        <v>0.85</v>
      </c>
    </row>
    <row r="6" customFormat="false" ht="15" hidden="false" customHeight="true" outlineLevel="0" collapsed="false">
      <c r="B6" s="5" t="s">
        <v>129</v>
      </c>
      <c r="C6" s="12" t="s">
        <v>78</v>
      </c>
      <c r="D6" s="21" t="n">
        <f aca="false">Assumptions!C37*D5</f>
        <v>0</v>
      </c>
      <c r="E6" s="21" t="n">
        <f aca="false">Assumptions!C37*E5</f>
        <v>0</v>
      </c>
      <c r="F6" s="21" t="n">
        <f aca="false">Assumptions!C37*F5</f>
        <v>8.33333333333333</v>
      </c>
      <c r="G6" s="21" t="n">
        <f aca="false">Assumptions!C37*G5</f>
        <v>16.6666666666667</v>
      </c>
      <c r="H6" s="21" t="n">
        <f aca="false">Assumptions!C37*H5</f>
        <v>21.25</v>
      </c>
      <c r="I6" s="21" t="n">
        <f aca="false">Assumptions!C37*I5</f>
        <v>21.25</v>
      </c>
      <c r="J6" s="21" t="n">
        <f aca="false">Assumptions!C37*J5</f>
        <v>21.25</v>
      </c>
      <c r="K6" s="21" t="n">
        <f aca="false">Assumptions!C37*K5</f>
        <v>21.25</v>
      </c>
      <c r="L6" s="21" t="n">
        <f aca="false">Assumptions!C37*L5</f>
        <v>21.25</v>
      </c>
      <c r="M6" s="21" t="n">
        <f aca="false">Assumptions!C37*M5</f>
        <v>21.25</v>
      </c>
      <c r="N6" s="21" t="n">
        <f aca="false">Assumptions!C37*N5</f>
        <v>21.25</v>
      </c>
      <c r="O6" s="21" t="n">
        <f aca="false">Assumptions!C37*O5</f>
        <v>21.25</v>
      </c>
      <c r="P6" s="21" t="n">
        <f aca="false">Assumptions!C37*P5</f>
        <v>21.25</v>
      </c>
      <c r="Q6" s="21" t="n">
        <f aca="false">Assumptions!C37*Q5</f>
        <v>21.25</v>
      </c>
      <c r="R6" s="21" t="n">
        <f aca="false">Assumptions!C37*R5</f>
        <v>21.25</v>
      </c>
      <c r="S6" s="21" t="n">
        <f aca="false">Assumptions!C37*S5</f>
        <v>21.25</v>
      </c>
      <c r="T6" s="21" t="n">
        <f aca="false">Assumptions!C37*T5</f>
        <v>21.25</v>
      </c>
      <c r="U6" s="21" t="n">
        <f aca="false">Assumptions!C37*U5</f>
        <v>21.25</v>
      </c>
      <c r="V6" s="21" t="n">
        <f aca="false">Assumptions!C37*V5</f>
        <v>21.25</v>
      </c>
      <c r="W6" s="21" t="n">
        <f aca="false">Assumptions!C37*W5</f>
        <v>21.25</v>
      </c>
    </row>
    <row r="7" customFormat="false" ht="15" hidden="false" customHeight="true" outlineLevel="0" collapsed="false">
      <c r="B7" s="5" t="s">
        <v>130</v>
      </c>
      <c r="C7" s="12" t="s">
        <v>108</v>
      </c>
      <c r="D7" s="22" t="n">
        <f aca="false">IF(D5=0,0,(1+Assumptions!C70)^MAX(0,1-Assumptions!C31/12))</f>
        <v>0</v>
      </c>
      <c r="E7" s="22" t="n">
        <f aca="false">IF(E5=0,0,(1+Assumptions!C70)^MAX(0,2-Assumptions!C31/12))</f>
        <v>0</v>
      </c>
      <c r="F7" s="22" t="n">
        <f aca="false">IF(F5=0,0,(1+Assumptions!C70)^MAX(0,3-Assumptions!C31/12))</f>
        <v>1.02</v>
      </c>
      <c r="G7" s="22" t="n">
        <f aca="false">IF(G5=0,0,(1+Assumptions!C70)^MAX(0,4-Assumptions!C31/12))</f>
        <v>1.0404</v>
      </c>
      <c r="H7" s="22" t="n">
        <f aca="false">IF(H5=0,0,(1+Assumptions!C70)^MAX(0,5-Assumptions!C31/12))</f>
        <v>1.061208</v>
      </c>
      <c r="I7" s="22" t="n">
        <f aca="false">IF(I5=0,0,(1+Assumptions!C70)^MAX(0,6-Assumptions!C31/12))</f>
        <v>1.08243216</v>
      </c>
      <c r="J7" s="22" t="n">
        <f aca="false">IF(J5=0,0,(1+Assumptions!C70)^MAX(0,7-Assumptions!C31/12))</f>
        <v>1.1040808032</v>
      </c>
      <c r="K7" s="22" t="n">
        <f aca="false">IF(K5=0,0,(1+Assumptions!C70)^MAX(0,8-Assumptions!C31/12))</f>
        <v>1.126162419264</v>
      </c>
      <c r="L7" s="22" t="n">
        <f aca="false">IF(L5=0,0,(1+Assumptions!C70)^MAX(0,9-Assumptions!C31/12))</f>
        <v>1.14868566764928</v>
      </c>
      <c r="M7" s="22" t="n">
        <f aca="false">IF(M5=0,0,(1+Assumptions!C70)^MAX(0,10-Assumptions!C31/12))</f>
        <v>1.17165938100227</v>
      </c>
      <c r="N7" s="22" t="n">
        <f aca="false">IF(N5=0,0,(1+Assumptions!C70)^MAX(0,11-Assumptions!C31/12))</f>
        <v>1.19509256862231</v>
      </c>
      <c r="O7" s="22" t="n">
        <f aca="false">IF(O5=0,0,(1+Assumptions!C70)^MAX(0,12-Assumptions!C31/12))</f>
        <v>1.21899441999476</v>
      </c>
      <c r="P7" s="22" t="n">
        <f aca="false">IF(P5=0,0,(1+Assumptions!C70)^MAX(0,13-Assumptions!C31/12))</f>
        <v>1.24337430839465</v>
      </c>
      <c r="Q7" s="22" t="n">
        <f aca="false">IF(Q5=0,0,(1+Assumptions!C70)^MAX(0,14-Assumptions!C31/12))</f>
        <v>1.26824179456255</v>
      </c>
      <c r="R7" s="22" t="n">
        <f aca="false">IF(R5=0,0,(1+Assumptions!C70)^MAX(0,15-Assumptions!C31/12))</f>
        <v>1.2936066304538</v>
      </c>
      <c r="S7" s="22" t="n">
        <f aca="false">IF(S5=0,0,(1+Assumptions!C70)^MAX(0,16-Assumptions!C31/12))</f>
        <v>1.31947876306287</v>
      </c>
      <c r="T7" s="22" t="n">
        <f aca="false">IF(T5=0,0,(1+Assumptions!C70)^MAX(0,17-Assumptions!C31/12))</f>
        <v>1.34586833832413</v>
      </c>
      <c r="U7" s="22" t="n">
        <f aca="false">IF(U5=0,0,(1+Assumptions!C70)^MAX(0,18-Assumptions!C31/12))</f>
        <v>1.37278570509061</v>
      </c>
      <c r="V7" s="22" t="n">
        <f aca="false">IF(V5=0,0,(1+Assumptions!C70)^MAX(0,19-Assumptions!C31/12))</f>
        <v>1.40024141919242</v>
      </c>
      <c r="W7" s="22" t="n">
        <f aca="false">IF(W5=0,0,(1+Assumptions!C70)^MAX(0,20-Assumptions!C31/12))</f>
        <v>1.42824624757627</v>
      </c>
    </row>
    <row r="8" customFormat="false" ht="15" hidden="false" customHeight="true" outlineLevel="0" collapsed="false">
      <c r="B8" s="5" t="s">
        <v>131</v>
      </c>
      <c r="C8" s="12" t="s">
        <v>78</v>
      </c>
      <c r="D8" s="21" t="n">
        <f aca="false">IF(D5=0,0,D6*D7*('Currency &amp; FX'!D11+'Currency &amp; FX'!D12*(1/(1+Assumptions!C18)^MAX(0,1-Assumptions!C31/12))))</f>
        <v>0</v>
      </c>
      <c r="E8" s="21" t="n">
        <f aca="false">IF(E5=0,0,E6*E7*('Currency &amp; FX'!E11+'Currency &amp; FX'!E12*(1/(1+Assumptions!C18)^MAX(0,2-Assumptions!C31/12))))</f>
        <v>0</v>
      </c>
      <c r="F8" s="21" t="n">
        <f aca="false">IF(F5=0,0,F6*F7*('Currency &amp; FX'!F11+'Currency &amp; FX'!F12*(1/(1+Assumptions!C18)^MAX(0,3-Assumptions!C31/12))))</f>
        <v>8.33809523809524</v>
      </c>
      <c r="G8" s="21" t="n">
        <f aca="false">IF(G5=0,0,G6*G7*('Currency &amp; FX'!G11+'Currency &amp; FX'!G12*(1/(1+Assumptions!C18)^MAX(0,4-Assumptions!C31/12))))</f>
        <v>16.695156462585</v>
      </c>
      <c r="H8" s="21" t="n">
        <f aca="false">IF(H5=0,0,H6*H7*('Currency &amp; FX'!H11+'Currency &amp; FX'!H12*(1/(1+Assumptions!C18)^MAX(0,5-Assumptions!C31/12))))</f>
        <v>21.3224486472303</v>
      </c>
      <c r="I8" s="21" t="n">
        <f aca="false">IF(I5=0,0,I6*I7*('Currency &amp; FX'!I11+'Currency &amp; FX'!I12*(1/(1+Assumptions!C18)^MAX(0,6-Assumptions!C31/12))))</f>
        <v>21.3704267830237</v>
      </c>
      <c r="J8" s="21" t="n">
        <f aca="false">IF(J5=0,0,J6*J7*('Currency &amp; FX'!J11+'Currency &amp; FX'!J12*(1/(1+Assumptions!C18)^MAX(0,7-Assumptions!C31/12))))</f>
        <v>21.4301779340231</v>
      </c>
      <c r="K8" s="21" t="n">
        <f aca="false">IF(K5=0,0,K6*K7*('Currency &amp; FX'!K11+'Currency &amp; FX'!K12*(1/(1+Assumptions!C18)^MAX(0,8-Assumptions!C31/12))))</f>
        <v>21.501628604747</v>
      </c>
      <c r="L8" s="21" t="n">
        <f aca="false">IF(L5=0,0,L6*L7*('Currency &amp; FX'!L11+'Currency &amp; FX'!L12*(1/(1+Assumptions!C18)^MAX(0,9-Assumptions!C31/12))))</f>
        <v>21.5847126571127</v>
      </c>
      <c r="M8" s="21" t="n">
        <f aca="false">IF(M5=0,0,M6*M7*('Currency &amp; FX'!M11+'Currency &amp; FX'!M12*(1/(1+Assumptions!C18)^MAX(0,10-Assumptions!C31/12))))</f>
        <v>21.6793712053751</v>
      </c>
      <c r="N8" s="21" t="n">
        <f aca="false">IF(N5=0,0,N6*N7*('Currency &amp; FX'!N11+'Currency &amp; FX'!N12*(1/(1+Assumptions!C18)^MAX(0,11-Assumptions!C31/12))))</f>
        <v>21.7855525161708</v>
      </c>
      <c r="O8" s="21" t="n">
        <f aca="false">IF(O5=0,0,O6*O7*('Currency &amp; FX'!O11+'Currency &amp; FX'!O12*(1/(1+Assumptions!C18)^MAX(0,12-Assumptions!C31/12))))</f>
        <v>21.9032119135628</v>
      </c>
      <c r="P8" s="21" t="n">
        <f aca="false">IF(P5=0,0,P6*P7*('Currency &amp; FX'!P11+'Currency &amp; FX'!P12*(1/(1+Assumptions!C18)^MAX(0,13-Assumptions!C31/12))))</f>
        <v>22.0323116889863</v>
      </c>
      <c r="Q8" s="21" t="n">
        <f aca="false">IF(Q5=0,0,Q6*Q7*('Currency &amp; FX'!Q11+'Currency &amp; FX'!Q12*(1/(1+Assumptions!C18)^MAX(0,14-Assumptions!C31/12))))</f>
        <v>22.1728210159997</v>
      </c>
      <c r="R8" s="21" t="n">
        <f aca="false">IF(R5=0,0,R6*R7*('Currency &amp; FX'!R11+'Currency &amp; FX'!R12*(1/(1+Assumptions!C18)^MAX(0,15-Assumptions!C31/12))))</f>
        <v>22.3247158697466</v>
      </c>
      <c r="S8" s="21" t="n">
        <f aca="false">IF(S5=0,0,S6*S7*('Currency &amp; FX'!S11+'Currency &amp; FX'!S12*(1/(1+Assumptions!C18)^MAX(0,16-Assumptions!C31/12))))</f>
        <v>22.487978951042</v>
      </c>
      <c r="T8" s="21" t="n">
        <f aca="false">IF(T5=0,0,T6*T7*('Currency &amp; FX'!T11+'Currency &amp; FX'!T12*(1/(1+Assumptions!C18)^MAX(0,17-Assumptions!C31/12))))</f>
        <v>22.6625996149948</v>
      </c>
      <c r="U8" s="21" t="n">
        <f aca="false">IF(U5=0,0,U6*U7*('Currency &amp; FX'!U11+'Currency &amp; FX'!U12*(1/(1+Assumptions!C18)^MAX(0,18-Assumptions!C31/12))))</f>
        <v>22.8485738040856</v>
      </c>
      <c r="V8" s="21" t="n">
        <f aca="false">IF(V5=0,0,V6*V7*('Currency &amp; FX'!V11+'Currency &amp; FX'!V12*(1/(1+Assumptions!C18)^MAX(0,19-Assumptions!C31/12))))</f>
        <v>23.0459039856215</v>
      </c>
      <c r="W8" s="21" t="n">
        <f aca="false">IF(W5=0,0,W6*W7*('Currency &amp; FX'!W11+'Currency &amp; FX'!W12*(1/(1+Assumptions!C18)^MAX(0,20-Assumptions!C31/12))))</f>
        <v>23.2545990934893</v>
      </c>
    </row>
    <row r="9" customFormat="false" ht="15" hidden="false" customHeight="true" outlineLevel="0" collapsed="false">
      <c r="B9" s="5"/>
    </row>
    <row r="10" customFormat="false" ht="15" hidden="false" customHeight="true" outlineLevel="0" collapsed="false">
      <c r="A10" s="9"/>
      <c r="B10" s="10" t="s">
        <v>132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customFormat="false" ht="15" hidden="false" customHeight="true" outlineLevel="0" collapsed="false">
      <c r="B11" s="5" t="s">
        <v>133</v>
      </c>
      <c r="C11" s="12" t="s">
        <v>78</v>
      </c>
      <c r="D11" s="21" t="n">
        <f aca="false">IF(D5=0,0,D8*0.85)</f>
        <v>0</v>
      </c>
      <c r="E11" s="21" t="n">
        <f aca="false">IF(E5=0,0,E8*0.85)</f>
        <v>0</v>
      </c>
      <c r="F11" s="21" t="n">
        <f aca="false">IF(F5=0,0,F8*0.85)</f>
        <v>7.08738095238095</v>
      </c>
      <c r="G11" s="21" t="n">
        <f aca="false">IF(G5=0,0,G8*0.85)</f>
        <v>14.1908829931973</v>
      </c>
      <c r="H11" s="21" t="n">
        <f aca="false">IF(H5=0,0,H8*0.85)</f>
        <v>18.1240813501458</v>
      </c>
      <c r="I11" s="21" t="n">
        <f aca="false">IF(I5=0,0,I8*0.85)</f>
        <v>18.1648627655702</v>
      </c>
      <c r="J11" s="21" t="n">
        <f aca="false">IF(J5=0,0,J8*0.85)</f>
        <v>18.2156512439196</v>
      </c>
      <c r="K11" s="21" t="n">
        <f aca="false">IF(K5=0,0,K8*0.85)</f>
        <v>18.2763843140349</v>
      </c>
      <c r="L11" s="21" t="n">
        <f aca="false">IF(L5=0,0,L8*0.85)</f>
        <v>18.3470057585458</v>
      </c>
      <c r="M11" s="21" t="n">
        <f aca="false">IF(M5=0,0,M8*0.85)</f>
        <v>18.4274655245689</v>
      </c>
      <c r="N11" s="21" t="n">
        <f aca="false">IF(N5=0,0,N8*0.85)</f>
        <v>18.5177196387452</v>
      </c>
      <c r="O11" s="21" t="n">
        <f aca="false">IF(O5=0,0,O8*0.85)</f>
        <v>18.6177301265283</v>
      </c>
      <c r="P11" s="21" t="n">
        <f aca="false">IF(P5=0,0,P8*0.85)</f>
        <v>18.7274649356383</v>
      </c>
      <c r="Q11" s="21" t="n">
        <f aca="false">IF(Q5=0,0,Q8*0.85)</f>
        <v>18.8468978635997</v>
      </c>
      <c r="R11" s="21" t="n">
        <f aca="false">IF(R5=0,0,R8*0.85)</f>
        <v>18.9760084892846</v>
      </c>
      <c r="S11" s="21" t="n">
        <f aca="false">IF(S5=0,0,S8*0.85)</f>
        <v>19.1147821083857</v>
      </c>
      <c r="T11" s="21" t="n">
        <f aca="false">IF(T5=0,0,T8*0.85)</f>
        <v>19.2632096727455</v>
      </c>
      <c r="U11" s="21" t="n">
        <f aca="false">IF(U5=0,0,U8*0.85)</f>
        <v>19.4212877334728</v>
      </c>
      <c r="V11" s="21" t="n">
        <f aca="false">IF(V5=0,0,V8*0.85)</f>
        <v>19.5890183877782</v>
      </c>
      <c r="W11" s="21" t="n">
        <f aca="false">IF(W5=0,0,W8*0.85)</f>
        <v>19.7664092294659</v>
      </c>
    </row>
    <row r="12" customFormat="false" ht="15" hidden="false" customHeight="true" outlineLevel="0" collapsed="false">
      <c r="B12" s="5" t="s">
        <v>134</v>
      </c>
      <c r="C12" s="12" t="s">
        <v>78</v>
      </c>
      <c r="D12" s="21" t="n">
        <f aca="false">IF(D5=0,0,D8*0.1)</f>
        <v>0</v>
      </c>
      <c r="E12" s="21" t="n">
        <f aca="false">IF(E5=0,0,E8*0.1)</f>
        <v>0</v>
      </c>
      <c r="F12" s="21" t="n">
        <f aca="false">IF(F5=0,0,F8*0.1)</f>
        <v>0.833809523809524</v>
      </c>
      <c r="G12" s="21" t="n">
        <f aca="false">IF(G5=0,0,G8*0.1)</f>
        <v>1.6695156462585</v>
      </c>
      <c r="H12" s="21" t="n">
        <f aca="false">IF(H5=0,0,H8*0.1)</f>
        <v>2.13224486472303</v>
      </c>
      <c r="I12" s="21" t="n">
        <f aca="false">IF(I5=0,0,I8*0.1)</f>
        <v>2.13704267830237</v>
      </c>
      <c r="J12" s="21" t="n">
        <f aca="false">IF(J5=0,0,J8*0.1)</f>
        <v>2.14301779340231</v>
      </c>
      <c r="K12" s="21" t="n">
        <f aca="false">IF(K5=0,0,K8*0.1)</f>
        <v>2.1501628604747</v>
      </c>
      <c r="L12" s="21" t="n">
        <f aca="false">IF(L5=0,0,L8*0.1)</f>
        <v>2.15847126571127</v>
      </c>
      <c r="M12" s="21" t="n">
        <f aca="false">IF(M5=0,0,M8*0.1)</f>
        <v>2.16793712053751</v>
      </c>
      <c r="N12" s="21" t="n">
        <f aca="false">IF(N5=0,0,N8*0.1)</f>
        <v>2.17855525161708</v>
      </c>
      <c r="O12" s="21" t="n">
        <f aca="false">IF(O5=0,0,O8*0.1)</f>
        <v>2.19032119135628</v>
      </c>
      <c r="P12" s="21" t="n">
        <f aca="false">IF(P5=0,0,P8*0.1)</f>
        <v>2.20323116889863</v>
      </c>
      <c r="Q12" s="21" t="n">
        <f aca="false">IF(Q5=0,0,Q8*0.1)</f>
        <v>2.21728210159997</v>
      </c>
      <c r="R12" s="21" t="n">
        <f aca="false">IF(R5=0,0,R8*0.1)</f>
        <v>2.23247158697466</v>
      </c>
      <c r="S12" s="21" t="n">
        <f aca="false">IF(S5=0,0,S8*0.1)</f>
        <v>2.2487978951042</v>
      </c>
      <c r="T12" s="21" t="n">
        <f aca="false">IF(T5=0,0,T8*0.1)</f>
        <v>2.26625996149948</v>
      </c>
      <c r="U12" s="21" t="n">
        <f aca="false">IF(U5=0,0,U8*0.1)</f>
        <v>2.28485738040856</v>
      </c>
      <c r="V12" s="21" t="n">
        <f aca="false">IF(V5=0,0,V8*0.1)</f>
        <v>2.30459039856215</v>
      </c>
      <c r="W12" s="21" t="n">
        <f aca="false">IF(W5=0,0,W8*0.1)</f>
        <v>2.32545990934893</v>
      </c>
    </row>
    <row r="13" customFormat="false" ht="15" hidden="false" customHeight="true" outlineLevel="0" collapsed="false">
      <c r="B13" s="5" t="s">
        <v>135</v>
      </c>
      <c r="C13" s="12" t="s">
        <v>78</v>
      </c>
      <c r="D13" s="21" t="n">
        <f aca="false">IF(D5=0,0,D8*0.05)</f>
        <v>0</v>
      </c>
      <c r="E13" s="21" t="n">
        <f aca="false">IF(E5=0,0,E8*0.05)</f>
        <v>0</v>
      </c>
      <c r="F13" s="21" t="n">
        <f aca="false">IF(F5=0,0,F8*0.05)</f>
        <v>0.416904761904762</v>
      </c>
      <c r="G13" s="21" t="n">
        <f aca="false">IF(G5=0,0,G8*0.05)</f>
        <v>0.834757823129252</v>
      </c>
      <c r="H13" s="21" t="n">
        <f aca="false">IF(H5=0,0,H8*0.05)</f>
        <v>1.06612243236152</v>
      </c>
      <c r="I13" s="21" t="n">
        <f aca="false">IF(I5=0,0,I8*0.05)</f>
        <v>1.06852133915119</v>
      </c>
      <c r="J13" s="21" t="n">
        <f aca="false">IF(J5=0,0,J8*0.05)</f>
        <v>1.07150889670115</v>
      </c>
      <c r="K13" s="21" t="n">
        <f aca="false">IF(K5=0,0,K8*0.05)</f>
        <v>1.07508143023735</v>
      </c>
      <c r="L13" s="21" t="n">
        <f aca="false">IF(L5=0,0,L8*0.05)</f>
        <v>1.07923563285564</v>
      </c>
      <c r="M13" s="21" t="n">
        <f aca="false">IF(M5=0,0,M8*0.05)</f>
        <v>1.08396856026876</v>
      </c>
      <c r="N13" s="21" t="n">
        <f aca="false">IF(N5=0,0,N8*0.05)</f>
        <v>1.08927762580854</v>
      </c>
      <c r="O13" s="21" t="n">
        <f aca="false">IF(O5=0,0,O8*0.05)</f>
        <v>1.09516059567814</v>
      </c>
      <c r="P13" s="21" t="n">
        <f aca="false">IF(P5=0,0,P8*0.05)</f>
        <v>1.10161558444931</v>
      </c>
      <c r="Q13" s="21" t="n">
        <f aca="false">IF(Q5=0,0,Q8*0.05)</f>
        <v>1.10864105079998</v>
      </c>
      <c r="R13" s="21" t="n">
        <f aca="false">IF(R5=0,0,R8*0.05)</f>
        <v>1.11623579348733</v>
      </c>
      <c r="S13" s="21" t="n">
        <f aca="false">IF(S5=0,0,S8*0.05)</f>
        <v>1.1243989475521</v>
      </c>
      <c r="T13" s="21" t="n">
        <f aca="false">IF(T5=0,0,T8*0.05)</f>
        <v>1.13312998074974</v>
      </c>
      <c r="U13" s="21" t="n">
        <f aca="false">IF(U5=0,0,U8*0.05)</f>
        <v>1.14242869020428</v>
      </c>
      <c r="V13" s="21" t="n">
        <f aca="false">IF(V5=0,0,V8*0.05)</f>
        <v>1.15229519928107</v>
      </c>
      <c r="W13" s="21" t="n">
        <f aca="false">IF(W5=0,0,W8*0.05)</f>
        <v>1.16272995467446</v>
      </c>
    </row>
    <row r="14" customFormat="false" ht="15" hidden="false" customHeight="true" outlineLevel="0" collapsed="false">
      <c r="B14" s="5" t="s">
        <v>136</v>
      </c>
      <c r="C14" s="12" t="s">
        <v>78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</row>
    <row r="15" customFormat="false" ht="15" hidden="false" customHeight="true" outlineLevel="0" collapsed="false">
      <c r="B15" s="5" t="s">
        <v>137</v>
      </c>
      <c r="C15" s="12" t="s">
        <v>78</v>
      </c>
      <c r="D15" s="23" t="n">
        <f aca="false">SUM(D11:D14)</f>
        <v>0</v>
      </c>
      <c r="E15" s="23" t="n">
        <f aca="false">SUM(E11:E14)</f>
        <v>0</v>
      </c>
      <c r="F15" s="23" t="n">
        <f aca="false">SUM(F11:F14)</f>
        <v>8.33809523809524</v>
      </c>
      <c r="G15" s="23" t="n">
        <f aca="false">SUM(G11:G14)</f>
        <v>16.695156462585</v>
      </c>
      <c r="H15" s="23" t="n">
        <f aca="false">SUM(H11:H14)</f>
        <v>21.3224486472303</v>
      </c>
      <c r="I15" s="23" t="n">
        <f aca="false">SUM(I11:I14)</f>
        <v>21.3704267830237</v>
      </c>
      <c r="J15" s="23" t="n">
        <f aca="false">SUM(J11:J14)</f>
        <v>21.4301779340231</v>
      </c>
      <c r="K15" s="23" t="n">
        <f aca="false">SUM(K11:K14)</f>
        <v>21.501628604747</v>
      </c>
      <c r="L15" s="23" t="n">
        <f aca="false">SUM(L11:L14)</f>
        <v>21.5847126571127</v>
      </c>
      <c r="M15" s="23" t="n">
        <f aca="false">SUM(M11:M14)</f>
        <v>21.6793712053751</v>
      </c>
      <c r="N15" s="23" t="n">
        <f aca="false">SUM(N11:N14)</f>
        <v>21.7855525161708</v>
      </c>
      <c r="O15" s="23" t="n">
        <f aca="false">SUM(O11:O14)</f>
        <v>21.9032119135628</v>
      </c>
      <c r="P15" s="23" t="n">
        <f aca="false">SUM(P11:P14)</f>
        <v>22.0323116889863</v>
      </c>
      <c r="Q15" s="23" t="n">
        <f aca="false">SUM(Q11:Q14)</f>
        <v>22.1728210159997</v>
      </c>
      <c r="R15" s="23" t="n">
        <f aca="false">SUM(R11:R14)</f>
        <v>22.3247158697466</v>
      </c>
      <c r="S15" s="23" t="n">
        <f aca="false">SUM(S11:S14)</f>
        <v>22.487978951042</v>
      </c>
      <c r="T15" s="23" t="n">
        <f aca="false">SUM(T11:T14)</f>
        <v>22.6625996149948</v>
      </c>
      <c r="U15" s="23" t="n">
        <f aca="false">SUM(U11:U14)</f>
        <v>22.8485738040856</v>
      </c>
      <c r="V15" s="23" t="n">
        <f aca="false">SUM(V11:V14)</f>
        <v>23.0459039856215</v>
      </c>
      <c r="W15" s="23" t="n">
        <f aca="false">SUM(W11:W14)</f>
        <v>23.2545990934893</v>
      </c>
    </row>
    <row r="16" customFormat="false" ht="15" hidden="false" customHeight="true" outlineLevel="0" collapsed="false">
      <c r="B16" s="5"/>
    </row>
    <row r="17" customFormat="false" ht="15" hidden="false" customHeight="true" outlineLevel="0" collapsed="false">
      <c r="A17" s="9"/>
      <c r="B17" s="10" t="s">
        <v>138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customFormat="false" ht="15" hidden="false" customHeight="true" outlineLevel="0" collapsed="false">
      <c r="B18" s="5" t="s">
        <v>139</v>
      </c>
      <c r="C18" s="12" t="s">
        <v>78</v>
      </c>
      <c r="D18" s="21" t="n">
        <f aca="false">IF(D15=0,0,-D15*Assumptions!C21)</f>
        <v>0</v>
      </c>
      <c r="E18" s="21" t="n">
        <f aca="false">IF(E15=0,0,-E15*Assumptions!C21)</f>
        <v>0</v>
      </c>
      <c r="F18" s="21" t="n">
        <f aca="false">IF(F15=0,0,-F15*Assumptions!C21)</f>
        <v>-0.833809523809524</v>
      </c>
      <c r="G18" s="21" t="n">
        <f aca="false">IF(G15=0,0,-G15*Assumptions!C21)</f>
        <v>-1.6695156462585</v>
      </c>
      <c r="H18" s="21" t="n">
        <f aca="false">IF(H15=0,0,-H15*Assumptions!C21)</f>
        <v>-2.13224486472303</v>
      </c>
      <c r="I18" s="21" t="n">
        <f aca="false">IF(I15=0,0,-I15*Assumptions!C21)</f>
        <v>-2.13704267830237</v>
      </c>
      <c r="J18" s="21" t="n">
        <f aca="false">IF(J15=0,0,-J15*Assumptions!C21)</f>
        <v>-2.14301779340231</v>
      </c>
      <c r="K18" s="21" t="n">
        <f aca="false">IF(K15=0,0,-K15*Assumptions!C21)</f>
        <v>-2.1501628604747</v>
      </c>
      <c r="L18" s="21" t="n">
        <f aca="false">IF(L15=0,0,-L15*Assumptions!C21)</f>
        <v>-2.15847126571127</v>
      </c>
      <c r="M18" s="21" t="n">
        <f aca="false">IF(M15=0,0,-M15*Assumptions!C21)</f>
        <v>-2.16793712053751</v>
      </c>
      <c r="N18" s="21" t="n">
        <f aca="false">IF(N15=0,0,-N15*Assumptions!C21)</f>
        <v>-2.17855525161708</v>
      </c>
      <c r="O18" s="21" t="n">
        <f aca="false">IF(O15=0,0,-O15*Assumptions!C21)</f>
        <v>-2.19032119135628</v>
      </c>
      <c r="P18" s="21" t="n">
        <f aca="false">IF(P15=0,0,-P15*Assumptions!C21)</f>
        <v>-2.20323116889863</v>
      </c>
      <c r="Q18" s="21" t="n">
        <f aca="false">IF(Q15=0,0,-Q15*Assumptions!C21)</f>
        <v>-2.21728210159997</v>
      </c>
      <c r="R18" s="21" t="n">
        <f aca="false">IF(R15=0,0,-R15*Assumptions!C21)</f>
        <v>-2.23247158697466</v>
      </c>
      <c r="S18" s="21" t="n">
        <f aca="false">IF(S15=0,0,-S15*Assumptions!C21)</f>
        <v>-2.2487978951042</v>
      </c>
      <c r="T18" s="21" t="n">
        <f aca="false">IF(T15=0,0,-T15*Assumptions!C21)</f>
        <v>-2.26625996149948</v>
      </c>
      <c r="U18" s="21" t="n">
        <f aca="false">IF(U15=0,0,-U15*Assumptions!C21)</f>
        <v>-2.28485738040856</v>
      </c>
      <c r="V18" s="21" t="n">
        <f aca="false">IF(V15=0,0,-V15*Assumptions!C21)</f>
        <v>-2.30459039856215</v>
      </c>
      <c r="W18" s="21" t="n">
        <f aca="false">IF(W15=0,0,-W15*Assumptions!C21)</f>
        <v>-2.32545990934893</v>
      </c>
    </row>
    <row r="19" customFormat="false" ht="15" hidden="false" customHeight="true" outlineLevel="0" collapsed="false">
      <c r="B19" s="5" t="s">
        <v>140</v>
      </c>
      <c r="C19" s="12" t="s">
        <v>78</v>
      </c>
      <c r="D19" s="21" t="n">
        <f aca="false">IF(D15=0,0,-D15*Assumptions!C22*0.1)</f>
        <v>0</v>
      </c>
      <c r="E19" s="21" t="n">
        <f aca="false">IF(E15=0,0,-E15*Assumptions!C22*0.1)</f>
        <v>0</v>
      </c>
      <c r="F19" s="21" t="n">
        <f aca="false">IF(F15=0,0,-F15*Assumptions!C22*0.1)</f>
        <v>-0.133409523809524</v>
      </c>
      <c r="G19" s="21" t="n">
        <f aca="false">IF(G15=0,0,-G15*Assumptions!C22*0.1)</f>
        <v>-0.26712250340136</v>
      </c>
      <c r="H19" s="21" t="n">
        <f aca="false">IF(H15=0,0,-H15*Assumptions!C22*0.1)</f>
        <v>-0.341159178355685</v>
      </c>
      <c r="I19" s="21" t="n">
        <f aca="false">IF(I15=0,0,-I15*Assumptions!C22*0.1)</f>
        <v>-0.34192682852838</v>
      </c>
      <c r="J19" s="21" t="n">
        <f aca="false">IF(J15=0,0,-J15*Assumptions!C22*0.1)</f>
        <v>-0.342882846944369</v>
      </c>
      <c r="K19" s="21" t="n">
        <f aca="false">IF(K15=0,0,-K15*Assumptions!C22*0.1)</f>
        <v>-0.344026057675952</v>
      </c>
      <c r="L19" s="21" t="n">
        <f aca="false">IF(L15=0,0,-L15*Assumptions!C22*0.1)</f>
        <v>-0.345355402513803</v>
      </c>
      <c r="M19" s="21" t="n">
        <f aca="false">IF(M15=0,0,-M15*Assumptions!C22*0.1)</f>
        <v>-0.346869939286002</v>
      </c>
      <c r="N19" s="21" t="n">
        <f aca="false">IF(N15=0,0,-N15*Assumptions!C22*0.1)</f>
        <v>-0.348568840258733</v>
      </c>
      <c r="O19" s="21" t="n">
        <f aca="false">IF(O15=0,0,-O15*Assumptions!C22*0.1)</f>
        <v>-0.350451390617004</v>
      </c>
      <c r="P19" s="21" t="n">
        <f aca="false">IF(P15=0,0,-P15*Assumptions!C22*0.1)</f>
        <v>-0.352516987023781</v>
      </c>
      <c r="Q19" s="21" t="n">
        <f aca="false">IF(Q15=0,0,-Q15*Assumptions!C22*0.1)</f>
        <v>-0.354765136255995</v>
      </c>
      <c r="R19" s="21" t="n">
        <f aca="false">IF(R15=0,0,-R15*Assumptions!C22*0.1)</f>
        <v>-0.357195453915946</v>
      </c>
      <c r="S19" s="21" t="n">
        <f aca="false">IF(S15=0,0,-S15*Assumptions!C22*0.1)</f>
        <v>-0.359807663216672</v>
      </c>
      <c r="T19" s="21" t="n">
        <f aca="false">IF(T15=0,0,-T15*Assumptions!C22*0.1)</f>
        <v>-0.362601593839916</v>
      </c>
      <c r="U19" s="21" t="n">
        <f aca="false">IF(U15=0,0,-U15*Assumptions!C22*0.1)</f>
        <v>-0.36557718086537</v>
      </c>
      <c r="V19" s="21" t="n">
        <f aca="false">IF(V15=0,0,-V15*Assumptions!C22*0.1)</f>
        <v>-0.368734463769943</v>
      </c>
      <c r="W19" s="21" t="n">
        <f aca="false">IF(W15=0,0,-W15*Assumptions!C22*0.1)</f>
        <v>-0.372073585495829</v>
      </c>
    </row>
    <row r="20" customFormat="false" ht="15" hidden="false" customHeight="true" outlineLevel="0" collapsed="false">
      <c r="B20" s="5" t="s">
        <v>141</v>
      </c>
      <c r="C20" s="12" t="s">
        <v>78</v>
      </c>
      <c r="D20" s="21" t="n">
        <f aca="false">IF(D15=0,0,-D15*Assumptions!C18/(1+Assumptions!C18))</f>
        <v>0</v>
      </c>
      <c r="E20" s="21" t="n">
        <f aca="false">IF(E15=0,0,-E15*Assumptions!C18/(1+Assumptions!C18))</f>
        <v>0</v>
      </c>
      <c r="F20" s="21" t="n">
        <f aca="false">IF(F15=0,0,-F15*Assumptions!C18/(1+Assumptions!C18))</f>
        <v>-0.397052154195011</v>
      </c>
      <c r="G20" s="21" t="n">
        <f aca="false">IF(G15=0,0,-G15*Assumptions!C18/(1+Assumptions!C18))</f>
        <v>-0.795007450599287</v>
      </c>
      <c r="H20" s="21" t="n">
        <f aca="false">IF(H15=0,0,-H15*Assumptions!C18/(1+Assumptions!C18))</f>
        <v>-1.01535469748716</v>
      </c>
      <c r="I20" s="21" t="n">
        <f aca="false">IF(I15=0,0,-I15*Assumptions!C18/(1+Assumptions!C18))</f>
        <v>-1.01763937062018</v>
      </c>
      <c r="J20" s="21" t="n">
        <f aca="false">IF(J15=0,0,-J15*Assumptions!C18/(1+Assumptions!C18))</f>
        <v>-1.02048466352491</v>
      </c>
      <c r="K20" s="21" t="n">
        <f aca="false">IF(K15=0,0,-K15*Assumptions!C18/(1+Assumptions!C18))</f>
        <v>-1.02388707641652</v>
      </c>
      <c r="L20" s="21" t="n">
        <f aca="false">IF(L15=0,0,-L15*Assumptions!C18/(1+Assumptions!C18))</f>
        <v>-1.02784345986251</v>
      </c>
      <c r="M20" s="21" t="n">
        <f aca="false">IF(M15=0,0,-M15*Assumptions!C18/(1+Assumptions!C18))</f>
        <v>-1.03235100977977</v>
      </c>
      <c r="N20" s="21" t="n">
        <f aca="false">IF(N15=0,0,-N15*Assumptions!C18/(1+Assumptions!C18))</f>
        <v>-1.0374072626748</v>
      </c>
      <c r="O20" s="21" t="n">
        <f aca="false">IF(O15=0,0,-O15*Assumptions!C18/(1+Assumptions!C18))</f>
        <v>-1.04301009112204</v>
      </c>
      <c r="P20" s="21" t="n">
        <f aca="false">IF(P15=0,0,-P15*Assumptions!C18/(1+Assumptions!C18))</f>
        <v>-1.04915769947554</v>
      </c>
      <c r="Q20" s="21" t="n">
        <f aca="false">IF(Q15=0,0,-Q15*Assumptions!C18/(1+Assumptions!C18))</f>
        <v>-1.05584861980951</v>
      </c>
      <c r="R20" s="21" t="n">
        <f aca="false">IF(R15=0,0,-R15*Assumptions!C18/(1+Assumptions!C18))</f>
        <v>-1.06308170808317</v>
      </c>
      <c r="S20" s="21" t="n">
        <f aca="false">IF(S15=0,0,-S15*Assumptions!C18/(1+Assumptions!C18))</f>
        <v>-1.07085614052581</v>
      </c>
      <c r="T20" s="21" t="n">
        <f aca="false">IF(T15=0,0,-T15*Assumptions!C18/(1+Assumptions!C18))</f>
        <v>-1.07917141023785</v>
      </c>
      <c r="U20" s="21" t="n">
        <f aca="false">IF(U15=0,0,-U15*Assumptions!C18/(1+Assumptions!C18))</f>
        <v>-1.08802732400408</v>
      </c>
      <c r="V20" s="21" t="n">
        <f aca="false">IF(V15=0,0,-V15*Assumptions!C18/(1+Assumptions!C18))</f>
        <v>-1.09742399931531</v>
      </c>
      <c r="W20" s="21" t="n">
        <f aca="false">IF(W15=0,0,-W15*Assumptions!C18/(1+Assumptions!C18))</f>
        <v>-1.10736186159473</v>
      </c>
    </row>
    <row r="21" customFormat="false" ht="15" hidden="false" customHeight="true" outlineLevel="0" collapsed="false">
      <c r="B21" s="5" t="s">
        <v>142</v>
      </c>
      <c r="C21" s="12" t="s">
        <v>78</v>
      </c>
      <c r="D21" s="23" t="n">
        <f aca="false">D15+D18+D19+D20</f>
        <v>0</v>
      </c>
      <c r="E21" s="23" t="n">
        <f aca="false">E15+E18+E19+E20</f>
        <v>0</v>
      </c>
      <c r="F21" s="23" t="n">
        <f aca="false">F15+F18+F19+F20</f>
        <v>6.97382403628118</v>
      </c>
      <c r="G21" s="23" t="n">
        <f aca="false">G15+G18+G19+G20</f>
        <v>13.9635108623259</v>
      </c>
      <c r="H21" s="23" t="n">
        <f aca="false">H15+H18+H19+H20</f>
        <v>17.8336899066645</v>
      </c>
      <c r="I21" s="23" t="n">
        <f aca="false">I15+I18+I19+I20</f>
        <v>17.8738179055728</v>
      </c>
      <c r="J21" s="23" t="n">
        <f aca="false">J15+J18+J19+J20</f>
        <v>17.9237926301515</v>
      </c>
      <c r="K21" s="23" t="n">
        <f aca="false">K15+K18+K19+K20</f>
        <v>17.9835526101798</v>
      </c>
      <c r="L21" s="23" t="n">
        <f aca="false">L15+L18+L19+L20</f>
        <v>18.0530425290251</v>
      </c>
      <c r="M21" s="23" t="n">
        <f aca="false">M15+M18+M19+M20</f>
        <v>18.1322131357719</v>
      </c>
      <c r="N21" s="23" t="n">
        <f aca="false">N15+N18+N19+N20</f>
        <v>18.2210211616202</v>
      </c>
      <c r="O21" s="23" t="n">
        <f aca="false">O15+O18+O19+O20</f>
        <v>18.3194292404674</v>
      </c>
      <c r="P21" s="23" t="n">
        <f aca="false">P15+P18+P19+P20</f>
        <v>18.4274058335883</v>
      </c>
      <c r="Q21" s="23" t="n">
        <f aca="false">Q15+Q18+Q19+Q20</f>
        <v>18.5449251583342</v>
      </c>
      <c r="R21" s="23" t="n">
        <f aca="false">R15+R18+R19+R20</f>
        <v>18.6719671207728</v>
      </c>
      <c r="S21" s="23" t="n">
        <f aca="false">S15+S18+S19+S20</f>
        <v>18.8085172521953</v>
      </c>
      <c r="T21" s="23" t="n">
        <f aca="false">T15+T18+T19+T20</f>
        <v>18.9545666494175</v>
      </c>
      <c r="U21" s="23" t="n">
        <f aca="false">U15+U18+U19+U20</f>
        <v>19.1101119188076</v>
      </c>
      <c r="V21" s="23" t="n">
        <f aca="false">V15+V18+V19+V20</f>
        <v>19.2751551239741</v>
      </c>
      <c r="W21" s="23" t="n">
        <f aca="false">W15+W18+W19+W20</f>
        <v>19.4497037370498</v>
      </c>
    </row>
  </sheetData>
  <mergeCells count="1">
    <mergeCell ref="B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13" min="4" style="1" width="14"/>
  </cols>
  <sheetData>
    <row r="1" customFormat="false" ht="17.25" hidden="false" customHeight="true" outlineLevel="0" collapsed="false">
      <c r="B1" s="8" t="s">
        <v>143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3" customFormat="false" ht="15" hidden="false" customHeight="true" outlineLevel="0" collapsed="false">
      <c r="B3" s="7" t="s">
        <v>144</v>
      </c>
      <c r="C3" s="7" t="s">
        <v>145</v>
      </c>
      <c r="D3" s="24" t="s">
        <v>146</v>
      </c>
      <c r="E3" s="24" t="s">
        <v>147</v>
      </c>
      <c r="F3" s="24" t="s">
        <v>148</v>
      </c>
      <c r="G3" s="24" t="s">
        <v>149</v>
      </c>
      <c r="H3" s="24" t="s">
        <v>150</v>
      </c>
      <c r="I3" s="13" t="s">
        <v>151</v>
      </c>
    </row>
    <row r="4" customFormat="false" ht="15" hidden="false" customHeight="true" outlineLevel="0" collapsed="false">
      <c r="A4" s="9"/>
      <c r="B4" s="10" t="s">
        <v>152</v>
      </c>
      <c r="C4" s="9"/>
      <c r="D4" s="9"/>
      <c r="E4" s="9"/>
      <c r="F4" s="9"/>
      <c r="G4" s="9"/>
      <c r="H4" s="9"/>
      <c r="I4" s="9"/>
    </row>
    <row r="5" customFormat="false" ht="15" hidden="false" customHeight="true" outlineLevel="0" collapsed="false">
      <c r="B5" s="5" t="s">
        <v>153</v>
      </c>
      <c r="C5" s="21" t="n">
        <f aca="false">SUM(D5:H5)</f>
        <v>3</v>
      </c>
      <c r="D5" s="16" t="n">
        <v>1</v>
      </c>
      <c r="E5" s="16" t="n">
        <v>1.5</v>
      </c>
      <c r="F5" s="16" t="n">
        <v>0.5</v>
      </c>
      <c r="G5" s="16" t="n">
        <v>0</v>
      </c>
      <c r="H5" s="16" t="n">
        <v>0</v>
      </c>
    </row>
    <row r="6" customFormat="false" ht="15" hidden="false" customHeight="true" outlineLevel="0" collapsed="false">
      <c r="B6" s="5" t="s">
        <v>154</v>
      </c>
      <c r="C6" s="21" t="n">
        <f aca="false">SUM(D6:H6)</f>
        <v>6</v>
      </c>
      <c r="D6" s="16" t="n">
        <v>2</v>
      </c>
      <c r="E6" s="16" t="n">
        <v>3</v>
      </c>
      <c r="F6" s="16" t="n">
        <v>1</v>
      </c>
      <c r="G6" s="16" t="n">
        <v>0</v>
      </c>
      <c r="H6" s="16" t="n">
        <v>0</v>
      </c>
    </row>
    <row r="7" customFormat="false" ht="15" hidden="false" customHeight="true" outlineLevel="0" collapsed="false">
      <c r="B7" s="5" t="s">
        <v>155</v>
      </c>
      <c r="C7" s="21" t="n">
        <f aca="false">SUM(D7:H7)</f>
        <v>6.5</v>
      </c>
      <c r="D7" s="16" t="n">
        <v>0.5</v>
      </c>
      <c r="E7" s="16" t="n">
        <v>2</v>
      </c>
      <c r="F7" s="16" t="n">
        <v>3</v>
      </c>
      <c r="G7" s="16" t="n">
        <v>1</v>
      </c>
      <c r="H7" s="16" t="n">
        <v>0</v>
      </c>
    </row>
    <row r="8" customFormat="false" ht="15" hidden="false" customHeight="true" outlineLevel="0" collapsed="false">
      <c r="B8" s="5" t="s">
        <v>156</v>
      </c>
      <c r="C8" s="21" t="n">
        <f aca="false">SUM(D8:H8)</f>
        <v>10</v>
      </c>
      <c r="D8" s="16" t="n">
        <v>0</v>
      </c>
      <c r="E8" s="16" t="n">
        <v>3</v>
      </c>
      <c r="F8" s="16" t="n">
        <v>5</v>
      </c>
      <c r="G8" s="16" t="n">
        <v>2</v>
      </c>
      <c r="H8" s="16" t="n">
        <v>0</v>
      </c>
    </row>
    <row r="9" customFormat="false" ht="15" hidden="false" customHeight="true" outlineLevel="0" collapsed="false">
      <c r="B9" s="5" t="s">
        <v>157</v>
      </c>
      <c r="C9" s="21" t="n">
        <f aca="false">SUM(D9:H9)</f>
        <v>5</v>
      </c>
      <c r="D9" s="16" t="n">
        <v>0</v>
      </c>
      <c r="E9" s="16" t="n">
        <v>1</v>
      </c>
      <c r="F9" s="16" t="n">
        <v>2</v>
      </c>
      <c r="G9" s="16" t="n">
        <v>1.5</v>
      </c>
      <c r="H9" s="16" t="n">
        <v>0.5</v>
      </c>
    </row>
    <row r="10" customFormat="false" ht="15" hidden="false" customHeight="true" outlineLevel="0" collapsed="false">
      <c r="B10" s="5" t="s">
        <v>158</v>
      </c>
      <c r="C10" s="21" t="n">
        <f aca="false">SUM(D10:H10)</f>
        <v>6</v>
      </c>
      <c r="D10" s="16" t="n">
        <v>0</v>
      </c>
      <c r="E10" s="16" t="n">
        <v>0</v>
      </c>
      <c r="F10" s="16" t="n">
        <v>2</v>
      </c>
      <c r="G10" s="16" t="n">
        <v>3</v>
      </c>
      <c r="H10" s="16" t="n">
        <v>1</v>
      </c>
    </row>
    <row r="11" customFormat="false" ht="15" hidden="false" customHeight="true" outlineLevel="0" collapsed="false">
      <c r="B11" s="5" t="s">
        <v>159</v>
      </c>
      <c r="C11" s="21" t="n">
        <f aca="false">SUM(D11:H11)</f>
        <v>2</v>
      </c>
      <c r="D11" s="16" t="n">
        <v>0.5</v>
      </c>
      <c r="E11" s="16" t="n">
        <v>0.5</v>
      </c>
      <c r="F11" s="16" t="n">
        <v>0.5</v>
      </c>
      <c r="G11" s="16" t="n">
        <v>0.5</v>
      </c>
      <c r="H11" s="16" t="n">
        <v>0</v>
      </c>
    </row>
    <row r="12" customFormat="false" ht="15" hidden="false" customHeight="true" outlineLevel="0" collapsed="false">
      <c r="B12" s="7" t="s">
        <v>160</v>
      </c>
      <c r="C12" s="23" t="n">
        <f aca="false">SUM(C5:C11)</f>
        <v>38.5</v>
      </c>
      <c r="D12" s="23" t="n">
        <f aca="false">SUM(D5:D11)</f>
        <v>4</v>
      </c>
      <c r="E12" s="23" t="n">
        <f aca="false">SUM(E5:E11)</f>
        <v>11</v>
      </c>
      <c r="F12" s="23" t="n">
        <f aca="false">SUM(F5:F11)</f>
        <v>14</v>
      </c>
      <c r="G12" s="23" t="n">
        <f aca="false">SUM(G5:G11)</f>
        <v>8</v>
      </c>
      <c r="H12" s="23" t="n">
        <f aca="false">SUM(H5:H11)</f>
        <v>1.5</v>
      </c>
      <c r="I12" s="25"/>
    </row>
    <row r="13" customFormat="false" ht="15" hidden="false" customHeight="true" outlineLevel="0" collapsed="false">
      <c r="B13" s="5"/>
      <c r="C13" s="21"/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</row>
    <row r="14" customFormat="false" ht="15" hidden="false" customHeight="true" outlineLevel="0" collapsed="false">
      <c r="A14" s="9"/>
      <c r="B14" s="10" t="s">
        <v>161</v>
      </c>
      <c r="C14" s="9"/>
      <c r="D14" s="9"/>
      <c r="E14" s="9"/>
      <c r="F14" s="9"/>
      <c r="G14" s="9"/>
      <c r="H14" s="9"/>
      <c r="I14" s="9"/>
    </row>
    <row r="15" customFormat="false" ht="15" hidden="false" customHeight="true" outlineLevel="0" collapsed="false">
      <c r="B15" s="5" t="s">
        <v>162</v>
      </c>
      <c r="C15" s="21" t="n">
        <f aca="false">SUM(D15:H15)</f>
        <v>2.5</v>
      </c>
      <c r="D15" s="16" t="n">
        <v>0.8</v>
      </c>
      <c r="E15" s="16" t="n">
        <v>1.2</v>
      </c>
      <c r="F15" s="16" t="n">
        <v>0.5</v>
      </c>
      <c r="G15" s="16" t="n">
        <v>0</v>
      </c>
      <c r="H15" s="16" t="n">
        <v>0</v>
      </c>
    </row>
    <row r="16" customFormat="false" ht="15" hidden="false" customHeight="true" outlineLevel="0" collapsed="false">
      <c r="B16" s="5" t="s">
        <v>163</v>
      </c>
      <c r="C16" s="21" t="n">
        <f aca="false">SUM(D16:H16)</f>
        <v>0.5</v>
      </c>
      <c r="D16" s="16" t="n">
        <v>0.3</v>
      </c>
      <c r="E16" s="16" t="n">
        <v>0.2</v>
      </c>
      <c r="F16" s="16" t="n">
        <v>0</v>
      </c>
      <c r="G16" s="16" t="n">
        <v>0</v>
      </c>
      <c r="H16" s="16" t="n">
        <v>0</v>
      </c>
    </row>
    <row r="17" customFormat="false" ht="15" hidden="false" customHeight="true" outlineLevel="0" collapsed="false">
      <c r="B17" s="5" t="s">
        <v>164</v>
      </c>
      <c r="C17" s="21" t="n">
        <f aca="false">SUM(D17:H17)</f>
        <v>0.9</v>
      </c>
      <c r="D17" s="16" t="n">
        <v>0.2</v>
      </c>
      <c r="E17" s="16" t="n">
        <v>0.3</v>
      </c>
      <c r="F17" s="16" t="n">
        <v>0.2</v>
      </c>
      <c r="G17" s="16" t="n">
        <v>0.1</v>
      </c>
      <c r="H17" s="16" t="n">
        <v>0.1</v>
      </c>
    </row>
    <row r="18" customFormat="false" ht="15" hidden="false" customHeight="true" outlineLevel="0" collapsed="false">
      <c r="B18" s="5" t="s">
        <v>165</v>
      </c>
      <c r="C18" s="21" t="n">
        <f aca="false">SUM(D18:H18)</f>
        <v>0.8</v>
      </c>
      <c r="D18" s="16" t="n">
        <v>0.1</v>
      </c>
      <c r="E18" s="16" t="n">
        <v>0.2</v>
      </c>
      <c r="F18" s="16" t="n">
        <v>0.2</v>
      </c>
      <c r="G18" s="16" t="n">
        <v>0.2</v>
      </c>
      <c r="H18" s="16" t="n">
        <v>0.1</v>
      </c>
    </row>
    <row r="19" customFormat="false" ht="15" hidden="false" customHeight="true" outlineLevel="0" collapsed="false">
      <c r="B19" s="5" t="s">
        <v>166</v>
      </c>
      <c r="C19" s="21" t="n">
        <f aca="false">SUM(D19:H19)</f>
        <v>1.8</v>
      </c>
      <c r="D19" s="16" t="n">
        <v>0.3</v>
      </c>
      <c r="E19" s="16" t="n">
        <v>0.5</v>
      </c>
      <c r="F19" s="16" t="n">
        <v>0.5</v>
      </c>
      <c r="G19" s="16" t="n">
        <v>0.3</v>
      </c>
      <c r="H19" s="16" t="n">
        <v>0.2</v>
      </c>
    </row>
    <row r="20" customFormat="false" ht="15" hidden="false" customHeight="true" outlineLevel="0" collapsed="false">
      <c r="B20" s="5" t="s">
        <v>167</v>
      </c>
      <c r="C20" s="21" t="n">
        <f aca="false">SUM(D20:H20)</f>
        <v>1.4</v>
      </c>
      <c r="D20" s="16" t="n">
        <v>0</v>
      </c>
      <c r="E20" s="16" t="n">
        <v>0.3</v>
      </c>
      <c r="F20" s="16" t="n">
        <v>0.5</v>
      </c>
      <c r="G20" s="16" t="n">
        <v>0.4</v>
      </c>
      <c r="H20" s="16" t="n">
        <v>0.2</v>
      </c>
    </row>
    <row r="21" customFormat="false" ht="15" hidden="false" customHeight="true" outlineLevel="0" collapsed="false">
      <c r="B21" s="7" t="s">
        <v>168</v>
      </c>
      <c r="C21" s="23" t="n">
        <f aca="false">SUM(C15:C20)</f>
        <v>7.9</v>
      </c>
      <c r="D21" s="23" t="n">
        <f aca="false">SUM(D15:D20)</f>
        <v>1.7</v>
      </c>
      <c r="E21" s="23" t="n">
        <f aca="false">SUM(E15:E20)</f>
        <v>2.7</v>
      </c>
      <c r="F21" s="23" t="n">
        <f aca="false">SUM(F15:F20)</f>
        <v>1.9</v>
      </c>
      <c r="G21" s="23" t="n">
        <f aca="false">SUM(G15:G20)</f>
        <v>1</v>
      </c>
      <c r="H21" s="23" t="n">
        <f aca="false">SUM(H15:H20)</f>
        <v>0.6</v>
      </c>
      <c r="I21" s="25"/>
    </row>
    <row r="22" customFormat="false" ht="15" hidden="false" customHeight="true" outlineLevel="0" collapsed="false">
      <c r="B22" s="5"/>
      <c r="C22" s="21"/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</row>
    <row r="23" customFormat="false" ht="15" hidden="false" customHeight="true" outlineLevel="0" collapsed="false">
      <c r="A23" s="9"/>
      <c r="B23" s="10" t="s">
        <v>169</v>
      </c>
      <c r="C23" s="9"/>
      <c r="D23" s="9"/>
      <c r="E23" s="9"/>
      <c r="F23" s="9"/>
      <c r="G23" s="9"/>
      <c r="H23" s="9"/>
      <c r="I23" s="9"/>
    </row>
    <row r="24" customFormat="false" ht="15" hidden="false" customHeight="true" outlineLevel="0" collapsed="false">
      <c r="B24" s="5" t="s">
        <v>170</v>
      </c>
      <c r="C24" s="21" t="n">
        <f aca="false">(C12+C21)*Assumptions!C42</f>
        <v>4.64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</row>
    <row r="25" customFormat="false" ht="15" hidden="false" customHeight="true" outlineLevel="0" collapsed="false">
      <c r="B25" s="5" t="s">
        <v>171</v>
      </c>
      <c r="C25" s="21" t="n">
        <f aca="false">(C12+C21)*Assumptions!C39*2</f>
        <v>3.712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</row>
    <row r="26" customFormat="false" ht="15" hidden="false" customHeight="true" outlineLevel="0" collapsed="false">
      <c r="B26" s="5" t="s">
        <v>172</v>
      </c>
      <c r="C26" s="21" t="n">
        <f aca="false">(C12+C21)*Assumptions!C18</f>
        <v>2.32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</row>
    <row r="27" customFormat="false" ht="15" hidden="false" customHeight="true" outlineLevel="0" collapsed="false">
      <c r="B27" s="7" t="s">
        <v>173</v>
      </c>
      <c r="C27" s="23" t="n">
        <f aca="false">SUM(C24:C26)</f>
        <v>10.672</v>
      </c>
      <c r="D27" s="25"/>
      <c r="E27" s="25"/>
      <c r="F27" s="25"/>
      <c r="G27" s="25"/>
      <c r="H27" s="25"/>
      <c r="I27" s="25"/>
    </row>
    <row r="28" customFormat="false" ht="15" hidden="false" customHeight="true" outlineLevel="0" collapsed="false">
      <c r="B28" s="5"/>
      <c r="C28" s="21"/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</row>
    <row r="29" customFormat="false" ht="15" hidden="false" customHeight="true" outlineLevel="0" collapsed="false">
      <c r="B29" s="26" t="s">
        <v>174</v>
      </c>
      <c r="C29" s="23" t="n">
        <f aca="false">C12+C21+C27</f>
        <v>57.072</v>
      </c>
      <c r="D29" s="27" t="n">
        <v>0</v>
      </c>
      <c r="E29" s="27" t="n">
        <v>0</v>
      </c>
      <c r="F29" s="27" t="n">
        <v>0</v>
      </c>
      <c r="G29" s="27" t="n">
        <v>0</v>
      </c>
      <c r="H29" s="27" t="n">
        <v>0</v>
      </c>
      <c r="I29" s="25"/>
    </row>
  </sheetData>
  <mergeCells count="1">
    <mergeCell ref="B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23" min="4" style="1" width="14"/>
  </cols>
  <sheetData>
    <row r="1" customFormat="false" ht="17.25" hidden="false" customHeight="true" outlineLevel="0" collapsed="false">
      <c r="B1" s="8" t="s">
        <v>175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3" customFormat="false" ht="15" hidden="false" customHeight="true" outlineLevel="0" collapsed="false">
      <c r="B3" s="7" t="s">
        <v>176</v>
      </c>
      <c r="C3" s="7" t="s">
        <v>59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</row>
    <row r="4" customFormat="false" ht="15" hidden="false" customHeight="true" outlineLevel="0" collapsed="false">
      <c r="A4" s="9"/>
      <c r="B4" s="10" t="s">
        <v>177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customFormat="false" ht="15" hidden="false" customHeight="true" outlineLevel="0" collapsed="false">
      <c r="B5" s="5" t="s">
        <v>178</v>
      </c>
      <c r="C5" s="12" t="s">
        <v>78</v>
      </c>
      <c r="D5" s="21" t="n">
        <f aca="false">IF(1&lt;=(Assumptions!C31/12),0,'CAPEX Schedule'!C29*0.015*(1+Assumptions!C39)^MAX(0,1-(Assumptions!C31/12)))</f>
        <v>0</v>
      </c>
      <c r="E5" s="21" t="n">
        <f aca="false">IF(2&lt;=(Assumptions!C31/12),0,'CAPEX Schedule'!C29*0.015*(1+Assumptions!C39)^MAX(0,2-(Assumptions!C31/12)))</f>
        <v>0</v>
      </c>
      <c r="F5" s="21" t="n">
        <f aca="false">IF(3&lt;=(Assumptions!C31/12),0,'CAPEX Schedule'!C29*0.015*(1+Assumptions!C39)^MAX(0,3-(Assumptions!C31/12)))</f>
        <v>0.8903232</v>
      </c>
      <c r="G5" s="21" t="n">
        <f aca="false">IF(4&lt;=(Assumptions!C31/12),0,'CAPEX Schedule'!C29*0.015*(1+Assumptions!C39)^MAX(0,4-(Assumptions!C31/12)))</f>
        <v>0.925936128</v>
      </c>
      <c r="H5" s="21" t="n">
        <f aca="false">IF(5&lt;=(Assumptions!C31/12),0,'CAPEX Schedule'!C29*0.015*(1+Assumptions!C39)^MAX(0,5-(Assumptions!C31/12)))</f>
        <v>0.96297357312</v>
      </c>
      <c r="I5" s="21" t="n">
        <f aca="false">IF(6&lt;=(Assumptions!C31/12),0,'CAPEX Schedule'!C29*0.015*(1+Assumptions!C39)^MAX(0,6-(Assumptions!C31/12)))</f>
        <v>1.0014925160448</v>
      </c>
      <c r="J5" s="21" t="n">
        <f aca="false">IF(7&lt;=(Assumptions!C31/12),0,'CAPEX Schedule'!C29*0.015*(1+Assumptions!C39)^MAX(0,7-(Assumptions!C31/12)))</f>
        <v>1.04155221668659</v>
      </c>
      <c r="K5" s="21" t="n">
        <f aca="false">IF(8&lt;=(Assumptions!C31/12),0,'CAPEX Schedule'!C29*0.015*(1+Assumptions!C39)^MAX(0,8-(Assumptions!C31/12)))</f>
        <v>1.08321430535406</v>
      </c>
      <c r="L5" s="21" t="n">
        <f aca="false">IF(9&lt;=(Assumptions!C31/12),0,'CAPEX Schedule'!C29*0.015*(1+Assumptions!C39)^MAX(0,9-(Assumptions!C31/12)))</f>
        <v>1.12654287756822</v>
      </c>
      <c r="M5" s="21" t="n">
        <f aca="false">IF(10&lt;=(Assumptions!C31/12),0,'CAPEX Schedule'!C29*0.015*(1+Assumptions!C39)^MAX(0,10-(Assumptions!C31/12)))</f>
        <v>1.17160459267095</v>
      </c>
      <c r="N5" s="21" t="n">
        <f aca="false">IF(11&lt;=(Assumptions!C31/12),0,'CAPEX Schedule'!C29*0.015*(1+Assumptions!C39)^MAX(0,11-(Assumptions!C31/12)))</f>
        <v>1.21846877637778</v>
      </c>
      <c r="O5" s="21" t="n">
        <f aca="false">IF(12&lt;=(Assumptions!C31/12),0,'CAPEX Schedule'!C29*0.015*(1+Assumptions!C39)^MAX(0,12-(Assumptions!C31/12)))</f>
        <v>1.2672075274329</v>
      </c>
      <c r="P5" s="21" t="n">
        <f aca="false">IF(13&lt;=(Assumptions!C31/12),0,'CAPEX Schedule'!C29*0.015*(1+Assumptions!C39)^MAX(0,13-(Assumptions!C31/12)))</f>
        <v>1.31789582853021</v>
      </c>
      <c r="Q5" s="21" t="n">
        <f aca="false">IF(14&lt;=(Assumptions!C31/12),0,'CAPEX Schedule'!C29*0.015*(1+Assumptions!C39)^MAX(0,14-(Assumptions!C31/12)))</f>
        <v>1.37061166167142</v>
      </c>
      <c r="R5" s="21" t="n">
        <f aca="false">IF(15&lt;=(Assumptions!C31/12),0,'CAPEX Schedule'!C29*0.015*(1+Assumptions!C39)^MAX(0,15-(Assumptions!C31/12)))</f>
        <v>1.42543612813828</v>
      </c>
      <c r="S5" s="21" t="n">
        <f aca="false">IF(16&lt;=(Assumptions!C31/12),0,'CAPEX Schedule'!C29*0.015*(1+Assumptions!C39)^MAX(0,16-(Assumptions!C31/12)))</f>
        <v>1.48245357326381</v>
      </c>
      <c r="T5" s="21" t="n">
        <f aca="false">IF(17&lt;=(Assumptions!C31/12),0,'CAPEX Schedule'!C29*0.015*(1+Assumptions!C39)^MAX(0,17-(Assumptions!C31/12)))</f>
        <v>1.54175171619436</v>
      </c>
      <c r="U5" s="21" t="n">
        <f aca="false">IF(18&lt;=(Assumptions!C31/12),0,'CAPEX Schedule'!C29*0.015*(1+Assumptions!C39)^MAX(0,18-(Assumptions!C31/12)))</f>
        <v>1.60342178484214</v>
      </c>
      <c r="V5" s="21" t="n">
        <f aca="false">IF(19&lt;=(Assumptions!C31/12),0,'CAPEX Schedule'!C29*0.015*(1+Assumptions!C39)^MAX(0,19-(Assumptions!C31/12)))</f>
        <v>1.66755865623582</v>
      </c>
      <c r="W5" s="21" t="n">
        <f aca="false">IF(20&lt;=(Assumptions!C31/12),0,'CAPEX Schedule'!C29*0.015*(1+Assumptions!C39)^MAX(0,20-(Assumptions!C31/12)))</f>
        <v>1.73426100248525</v>
      </c>
    </row>
    <row r="6" customFormat="false" ht="15" hidden="false" customHeight="true" outlineLevel="0" collapsed="false">
      <c r="B6" s="5" t="s">
        <v>179</v>
      </c>
      <c r="C6" s="12" t="s">
        <v>78</v>
      </c>
      <c r="D6" s="21" t="n">
        <f aca="false">IF(1&lt;=(Assumptions!C31/12),0,'CAPEX Schedule'!C29*0.008*(1+Assumptions!C39)^MAX(0,1-(Assumptions!C31/12)))</f>
        <v>0</v>
      </c>
      <c r="E6" s="21" t="n">
        <f aca="false">IF(2&lt;=(Assumptions!C31/12),0,'CAPEX Schedule'!C29*0.008*(1+Assumptions!C39)^MAX(0,2-(Assumptions!C31/12)))</f>
        <v>0</v>
      </c>
      <c r="F6" s="21" t="n">
        <f aca="false">IF(3&lt;=(Assumptions!C31/12),0,'CAPEX Schedule'!C29*0.008*(1+Assumptions!C39)^MAX(0,3-(Assumptions!C31/12)))</f>
        <v>0.47483904</v>
      </c>
      <c r="G6" s="21" t="n">
        <f aca="false">IF(4&lt;=(Assumptions!C31/12),0,'CAPEX Schedule'!C29*0.008*(1+Assumptions!C39)^MAX(0,4-(Assumptions!C31/12)))</f>
        <v>0.4938326016</v>
      </c>
      <c r="H6" s="21" t="n">
        <f aca="false">IF(5&lt;=(Assumptions!C31/12),0,'CAPEX Schedule'!C29*0.008*(1+Assumptions!C39)^MAX(0,5-(Assumptions!C31/12)))</f>
        <v>0.513585905664</v>
      </c>
      <c r="I6" s="21" t="n">
        <f aca="false">IF(6&lt;=(Assumptions!C31/12),0,'CAPEX Schedule'!C29*0.008*(1+Assumptions!C39)^MAX(0,6-(Assumptions!C31/12)))</f>
        <v>0.53412934189056</v>
      </c>
      <c r="J6" s="21" t="n">
        <f aca="false">IF(7&lt;=(Assumptions!C31/12),0,'CAPEX Schedule'!C29*0.008*(1+Assumptions!C39)^MAX(0,7-(Assumptions!C31/12)))</f>
        <v>0.555494515566183</v>
      </c>
      <c r="K6" s="21" t="n">
        <f aca="false">IF(8&lt;=(Assumptions!C31/12),0,'CAPEX Schedule'!C29*0.008*(1+Assumptions!C39)^MAX(0,8-(Assumptions!C31/12)))</f>
        <v>0.57771429618883</v>
      </c>
      <c r="L6" s="21" t="n">
        <f aca="false">IF(9&lt;=(Assumptions!C31/12),0,'CAPEX Schedule'!C29*0.008*(1+Assumptions!C39)^MAX(0,9-(Assumptions!C31/12)))</f>
        <v>0.600822868036383</v>
      </c>
      <c r="M6" s="21" t="n">
        <f aca="false">IF(10&lt;=(Assumptions!C31/12),0,'CAPEX Schedule'!C29*0.008*(1+Assumptions!C39)^MAX(0,10-(Assumptions!C31/12)))</f>
        <v>0.624855782757838</v>
      </c>
      <c r="N6" s="21" t="n">
        <f aca="false">IF(11&lt;=(Assumptions!C31/12),0,'CAPEX Schedule'!C29*0.008*(1+Assumptions!C39)^MAX(0,11-(Assumptions!C31/12)))</f>
        <v>0.649850014068152</v>
      </c>
      <c r="O6" s="21" t="n">
        <f aca="false">IF(12&lt;=(Assumptions!C31/12),0,'CAPEX Schedule'!C29*0.008*(1+Assumptions!C39)^MAX(0,12-(Assumptions!C31/12)))</f>
        <v>0.675844014630878</v>
      </c>
      <c r="P6" s="21" t="n">
        <f aca="false">IF(13&lt;=(Assumptions!C31/12),0,'CAPEX Schedule'!C29*0.008*(1+Assumptions!C39)^MAX(0,13-(Assumptions!C31/12)))</f>
        <v>0.702877775216113</v>
      </c>
      <c r="Q6" s="21" t="n">
        <f aca="false">IF(14&lt;=(Assumptions!C31/12),0,'CAPEX Schedule'!C29*0.008*(1+Assumptions!C39)^MAX(0,14-(Assumptions!C31/12)))</f>
        <v>0.730992886224758</v>
      </c>
      <c r="R6" s="21" t="n">
        <f aca="false">IF(15&lt;=(Assumptions!C31/12),0,'CAPEX Schedule'!C29*0.008*(1+Assumptions!C39)^MAX(0,15-(Assumptions!C31/12)))</f>
        <v>0.760232601673748</v>
      </c>
      <c r="S6" s="21" t="n">
        <f aca="false">IF(16&lt;=(Assumptions!C31/12),0,'CAPEX Schedule'!C29*0.008*(1+Assumptions!C39)^MAX(0,16-(Assumptions!C31/12)))</f>
        <v>0.790641905740698</v>
      </c>
      <c r="T6" s="21" t="n">
        <f aca="false">IF(17&lt;=(Assumptions!C31/12),0,'CAPEX Schedule'!C29*0.008*(1+Assumptions!C39)^MAX(0,17-(Assumptions!C31/12)))</f>
        <v>0.822267581970326</v>
      </c>
      <c r="U6" s="21" t="n">
        <f aca="false">IF(18&lt;=(Assumptions!C31/12),0,'CAPEX Schedule'!C29*0.008*(1+Assumptions!C39)^MAX(0,18-(Assumptions!C31/12)))</f>
        <v>0.855158285249139</v>
      </c>
      <c r="V6" s="21" t="n">
        <f aca="false">IF(19&lt;=(Assumptions!C31/12),0,'CAPEX Schedule'!C29*0.008*(1+Assumptions!C39)^MAX(0,19-(Assumptions!C31/12)))</f>
        <v>0.889364616659105</v>
      </c>
      <c r="W6" s="21" t="n">
        <f aca="false">IF(20&lt;=(Assumptions!C31/12),0,'CAPEX Schedule'!C29*0.008*(1+Assumptions!C39)^MAX(0,20-(Assumptions!C31/12)))</f>
        <v>0.924939201325469</v>
      </c>
    </row>
    <row r="7" customFormat="false" ht="15" hidden="false" customHeight="true" outlineLevel="0" collapsed="false">
      <c r="B7" s="5" t="s">
        <v>180</v>
      </c>
      <c r="C7" s="12" t="s">
        <v>78</v>
      </c>
      <c r="D7" s="21" t="n">
        <f aca="false">IF(1&lt;=(Assumptions!C31/12),0,'CAPEX Schedule'!C29*0.004*(1+Assumptions!C39)^MAX(0,1-(Assumptions!C31/12)))</f>
        <v>0</v>
      </c>
      <c r="E7" s="21" t="n">
        <f aca="false">IF(2&lt;=(Assumptions!C31/12),0,'CAPEX Schedule'!C29*0.004*(1+Assumptions!C39)^MAX(0,2-(Assumptions!C31/12)))</f>
        <v>0</v>
      </c>
      <c r="F7" s="21" t="n">
        <f aca="false">IF(3&lt;=(Assumptions!C31/12),0,'CAPEX Schedule'!C29*0.004*(1+Assumptions!C39)^MAX(0,3-(Assumptions!C31/12)))</f>
        <v>0.23741952</v>
      </c>
      <c r="G7" s="21" t="n">
        <f aca="false">IF(4&lt;=(Assumptions!C31/12),0,'CAPEX Schedule'!C29*0.004*(1+Assumptions!C39)^MAX(0,4-(Assumptions!C31/12)))</f>
        <v>0.2469163008</v>
      </c>
      <c r="H7" s="21" t="n">
        <f aca="false">IF(5&lt;=(Assumptions!C31/12),0,'CAPEX Schedule'!C29*0.004*(1+Assumptions!C39)^MAX(0,5-(Assumptions!C31/12)))</f>
        <v>0.256792952832</v>
      </c>
      <c r="I7" s="21" t="n">
        <f aca="false">IF(6&lt;=(Assumptions!C31/12),0,'CAPEX Schedule'!C29*0.004*(1+Assumptions!C39)^MAX(0,6-(Assumptions!C31/12)))</f>
        <v>0.26706467094528</v>
      </c>
      <c r="J7" s="21" t="n">
        <f aca="false">IF(7&lt;=(Assumptions!C31/12),0,'CAPEX Schedule'!C29*0.004*(1+Assumptions!C39)^MAX(0,7-(Assumptions!C31/12)))</f>
        <v>0.277747257783091</v>
      </c>
      <c r="K7" s="21" t="n">
        <f aca="false">IF(8&lt;=(Assumptions!C31/12),0,'CAPEX Schedule'!C29*0.004*(1+Assumptions!C39)^MAX(0,8-(Assumptions!C31/12)))</f>
        <v>0.288857148094415</v>
      </c>
      <c r="L7" s="21" t="n">
        <f aca="false">IF(9&lt;=(Assumptions!C31/12),0,'CAPEX Schedule'!C29*0.004*(1+Assumptions!C39)^MAX(0,9-(Assumptions!C31/12)))</f>
        <v>0.300411434018192</v>
      </c>
      <c r="M7" s="21" t="n">
        <f aca="false">IF(10&lt;=(Assumptions!C31/12),0,'CAPEX Schedule'!C29*0.004*(1+Assumptions!C39)^MAX(0,10-(Assumptions!C31/12)))</f>
        <v>0.312427891378919</v>
      </c>
      <c r="N7" s="21" t="n">
        <f aca="false">IF(11&lt;=(Assumptions!C31/12),0,'CAPEX Schedule'!C29*0.004*(1+Assumptions!C39)^MAX(0,11-(Assumptions!C31/12)))</f>
        <v>0.324925007034076</v>
      </c>
      <c r="O7" s="21" t="n">
        <f aca="false">IF(12&lt;=(Assumptions!C31/12),0,'CAPEX Schedule'!C29*0.004*(1+Assumptions!C39)^MAX(0,12-(Assumptions!C31/12)))</f>
        <v>0.337922007315439</v>
      </c>
      <c r="P7" s="21" t="n">
        <f aca="false">IF(13&lt;=(Assumptions!C31/12),0,'CAPEX Schedule'!C29*0.004*(1+Assumptions!C39)^MAX(0,13-(Assumptions!C31/12)))</f>
        <v>0.351438887608057</v>
      </c>
      <c r="Q7" s="21" t="n">
        <f aca="false">IF(14&lt;=(Assumptions!C31/12),0,'CAPEX Schedule'!C29*0.004*(1+Assumptions!C39)^MAX(0,14-(Assumptions!C31/12)))</f>
        <v>0.365496443112379</v>
      </c>
      <c r="R7" s="21" t="n">
        <f aca="false">IF(15&lt;=(Assumptions!C31/12),0,'CAPEX Schedule'!C29*0.004*(1+Assumptions!C39)^MAX(0,15-(Assumptions!C31/12)))</f>
        <v>0.380116300836874</v>
      </c>
      <c r="S7" s="21" t="n">
        <f aca="false">IF(16&lt;=(Assumptions!C31/12),0,'CAPEX Schedule'!C29*0.004*(1+Assumptions!C39)^MAX(0,16-(Assumptions!C31/12)))</f>
        <v>0.395320952870349</v>
      </c>
      <c r="T7" s="21" t="n">
        <f aca="false">IF(17&lt;=(Assumptions!C31/12),0,'CAPEX Schedule'!C29*0.004*(1+Assumptions!C39)^MAX(0,17-(Assumptions!C31/12)))</f>
        <v>0.411133790985163</v>
      </c>
      <c r="U7" s="21" t="n">
        <f aca="false">IF(18&lt;=(Assumptions!C31/12),0,'CAPEX Schedule'!C29*0.004*(1+Assumptions!C39)^MAX(0,18-(Assumptions!C31/12)))</f>
        <v>0.42757914262457</v>
      </c>
      <c r="V7" s="21" t="n">
        <f aca="false">IF(19&lt;=(Assumptions!C31/12),0,'CAPEX Schedule'!C29*0.004*(1+Assumptions!C39)^MAX(0,19-(Assumptions!C31/12)))</f>
        <v>0.444682308329552</v>
      </c>
      <c r="W7" s="21" t="n">
        <f aca="false">IF(20&lt;=(Assumptions!C31/12),0,'CAPEX Schedule'!C29*0.004*(1+Assumptions!C39)^MAX(0,20-(Assumptions!C31/12)))</f>
        <v>0.462469600662734</v>
      </c>
    </row>
    <row r="8" customFormat="false" ht="15" hidden="false" customHeight="true" outlineLevel="0" collapsed="false">
      <c r="B8" s="5" t="s">
        <v>181</v>
      </c>
      <c r="C8" s="12" t="s">
        <v>78</v>
      </c>
      <c r="D8" s="21" t="n">
        <f aca="false">IF(1&lt;=(Assumptions!C31/12),0,'CAPEX Schedule'!C29*0.002*(1+Assumptions!C39)^MAX(0,1-(Assumptions!C31/12)))</f>
        <v>0</v>
      </c>
      <c r="E8" s="21" t="n">
        <f aca="false">IF(2&lt;=(Assumptions!C31/12),0,'CAPEX Schedule'!C29*0.002*(1+Assumptions!C39)^MAX(0,2-(Assumptions!C31/12)))</f>
        <v>0</v>
      </c>
      <c r="F8" s="21" t="n">
        <f aca="false">IF(3&lt;=(Assumptions!C31/12),0,'CAPEX Schedule'!C29*0.002*(1+Assumptions!C39)^MAX(0,3-(Assumptions!C31/12)))</f>
        <v>0.11870976</v>
      </c>
      <c r="G8" s="21" t="n">
        <f aca="false">IF(4&lt;=(Assumptions!C31/12),0,'CAPEX Schedule'!C29*0.002*(1+Assumptions!C39)^MAX(0,4-(Assumptions!C31/12)))</f>
        <v>0.1234581504</v>
      </c>
      <c r="H8" s="21" t="n">
        <f aca="false">IF(5&lt;=(Assumptions!C31/12),0,'CAPEX Schedule'!C29*0.002*(1+Assumptions!C39)^MAX(0,5-(Assumptions!C31/12)))</f>
        <v>0.128396476416</v>
      </c>
      <c r="I8" s="21" t="n">
        <f aca="false">IF(6&lt;=(Assumptions!C31/12),0,'CAPEX Schedule'!C29*0.002*(1+Assumptions!C39)^MAX(0,6-(Assumptions!C31/12)))</f>
        <v>0.13353233547264</v>
      </c>
      <c r="J8" s="21" t="n">
        <f aca="false">IF(7&lt;=(Assumptions!C31/12),0,'CAPEX Schedule'!C29*0.002*(1+Assumptions!C39)^MAX(0,7-(Assumptions!C31/12)))</f>
        <v>0.138873628891546</v>
      </c>
      <c r="K8" s="21" t="n">
        <f aca="false">IF(8&lt;=(Assumptions!C31/12),0,'CAPEX Schedule'!C29*0.002*(1+Assumptions!C39)^MAX(0,8-(Assumptions!C31/12)))</f>
        <v>0.144428574047207</v>
      </c>
      <c r="L8" s="21" t="n">
        <f aca="false">IF(9&lt;=(Assumptions!C31/12),0,'CAPEX Schedule'!C29*0.002*(1+Assumptions!C39)^MAX(0,9-(Assumptions!C31/12)))</f>
        <v>0.150205717009096</v>
      </c>
      <c r="M8" s="21" t="n">
        <f aca="false">IF(10&lt;=(Assumptions!C31/12),0,'CAPEX Schedule'!C29*0.002*(1+Assumptions!C39)^MAX(0,10-(Assumptions!C31/12)))</f>
        <v>0.15621394568946</v>
      </c>
      <c r="N8" s="21" t="n">
        <f aca="false">IF(11&lt;=(Assumptions!C31/12),0,'CAPEX Schedule'!C29*0.002*(1+Assumptions!C39)^MAX(0,11-(Assumptions!C31/12)))</f>
        <v>0.162462503517038</v>
      </c>
      <c r="O8" s="21" t="n">
        <f aca="false">IF(12&lt;=(Assumptions!C31/12),0,'CAPEX Schedule'!C29*0.002*(1+Assumptions!C39)^MAX(0,12-(Assumptions!C31/12)))</f>
        <v>0.16896100365772</v>
      </c>
      <c r="P8" s="21" t="n">
        <f aca="false">IF(13&lt;=(Assumptions!C31/12),0,'CAPEX Schedule'!C29*0.002*(1+Assumptions!C39)^MAX(0,13-(Assumptions!C31/12)))</f>
        <v>0.175719443804028</v>
      </c>
      <c r="Q8" s="21" t="n">
        <f aca="false">IF(14&lt;=(Assumptions!C31/12),0,'CAPEX Schedule'!C29*0.002*(1+Assumptions!C39)^MAX(0,14-(Assumptions!C31/12)))</f>
        <v>0.182748221556189</v>
      </c>
      <c r="R8" s="21" t="n">
        <f aca="false">IF(15&lt;=(Assumptions!C31/12),0,'CAPEX Schedule'!C29*0.002*(1+Assumptions!C39)^MAX(0,15-(Assumptions!C31/12)))</f>
        <v>0.190058150418437</v>
      </c>
      <c r="S8" s="21" t="n">
        <f aca="false">IF(16&lt;=(Assumptions!C31/12),0,'CAPEX Schedule'!C29*0.002*(1+Assumptions!C39)^MAX(0,16-(Assumptions!C31/12)))</f>
        <v>0.197660476435175</v>
      </c>
      <c r="T8" s="21" t="n">
        <f aca="false">IF(17&lt;=(Assumptions!C31/12),0,'CAPEX Schedule'!C29*0.002*(1+Assumptions!C39)^MAX(0,17-(Assumptions!C31/12)))</f>
        <v>0.205566895492582</v>
      </c>
      <c r="U8" s="21" t="n">
        <f aca="false">IF(18&lt;=(Assumptions!C31/12),0,'CAPEX Schedule'!C29*0.002*(1+Assumptions!C39)^MAX(0,18-(Assumptions!C31/12)))</f>
        <v>0.213789571312285</v>
      </c>
      <c r="V8" s="21" t="n">
        <f aca="false">IF(19&lt;=(Assumptions!C31/12),0,'CAPEX Schedule'!C29*0.002*(1+Assumptions!C39)^MAX(0,19-(Assumptions!C31/12)))</f>
        <v>0.222341154164776</v>
      </c>
      <c r="W8" s="21" t="n">
        <f aca="false">IF(20&lt;=(Assumptions!C31/12),0,'CAPEX Schedule'!C29*0.002*(1+Assumptions!C39)^MAX(0,20-(Assumptions!C31/12)))</f>
        <v>0.231234800331367</v>
      </c>
    </row>
    <row r="9" customFormat="false" ht="15" hidden="false" customHeight="true" outlineLevel="0" collapsed="false">
      <c r="B9" s="5" t="s">
        <v>182</v>
      </c>
      <c r="C9" s="12" t="s">
        <v>78</v>
      </c>
      <c r="D9" s="21" t="n">
        <f aca="false">IF(1&lt;=(Assumptions!C31/12),0,'CAPEX Schedule'!C29*0.0015*(1+Assumptions!C39)^MAX(0,1-(Assumptions!C31/12)))</f>
        <v>0</v>
      </c>
      <c r="E9" s="21" t="n">
        <f aca="false">IF(2&lt;=(Assumptions!C31/12),0,'CAPEX Schedule'!C29*0.0015*(1+Assumptions!C39)^MAX(0,2-(Assumptions!C31/12)))</f>
        <v>0</v>
      </c>
      <c r="F9" s="21" t="n">
        <f aca="false">IF(3&lt;=(Assumptions!C31/12),0,'CAPEX Schedule'!C29*0.0015*(1+Assumptions!C39)^MAX(0,3-(Assumptions!C31/12)))</f>
        <v>0.08903232</v>
      </c>
      <c r="G9" s="21" t="n">
        <f aca="false">IF(4&lt;=(Assumptions!C31/12),0,'CAPEX Schedule'!C29*0.0015*(1+Assumptions!C39)^MAX(0,4-(Assumptions!C31/12)))</f>
        <v>0.0925936128</v>
      </c>
      <c r="H9" s="21" t="n">
        <f aca="false">IF(5&lt;=(Assumptions!C31/12),0,'CAPEX Schedule'!C29*0.0015*(1+Assumptions!C39)^MAX(0,5-(Assumptions!C31/12)))</f>
        <v>0.096297357312</v>
      </c>
      <c r="I9" s="21" t="n">
        <f aca="false">IF(6&lt;=(Assumptions!C31/12),0,'CAPEX Schedule'!C29*0.0015*(1+Assumptions!C39)^MAX(0,6-(Assumptions!C31/12)))</f>
        <v>0.10014925160448</v>
      </c>
      <c r="J9" s="21" t="n">
        <f aca="false">IF(7&lt;=(Assumptions!C31/12),0,'CAPEX Schedule'!C29*0.0015*(1+Assumptions!C39)^MAX(0,7-(Assumptions!C31/12)))</f>
        <v>0.104155221668659</v>
      </c>
      <c r="K9" s="21" t="n">
        <f aca="false">IF(8&lt;=(Assumptions!C31/12),0,'CAPEX Schedule'!C29*0.0015*(1+Assumptions!C39)^MAX(0,8-(Assumptions!C31/12)))</f>
        <v>0.108321430535406</v>
      </c>
      <c r="L9" s="21" t="n">
        <f aca="false">IF(9&lt;=(Assumptions!C31/12),0,'CAPEX Schedule'!C29*0.0015*(1+Assumptions!C39)^MAX(0,9-(Assumptions!C31/12)))</f>
        <v>0.112654287756822</v>
      </c>
      <c r="M9" s="21" t="n">
        <f aca="false">IF(10&lt;=(Assumptions!C31/12),0,'CAPEX Schedule'!C29*0.0015*(1+Assumptions!C39)^MAX(0,10-(Assumptions!C31/12)))</f>
        <v>0.117160459267095</v>
      </c>
      <c r="N9" s="21" t="n">
        <f aca="false">IF(11&lt;=(Assumptions!C31/12),0,'CAPEX Schedule'!C29*0.0015*(1+Assumptions!C39)^MAX(0,11-(Assumptions!C31/12)))</f>
        <v>0.121846877637778</v>
      </c>
      <c r="O9" s="21" t="n">
        <f aca="false">IF(12&lt;=(Assumptions!C31/12),0,'CAPEX Schedule'!C29*0.0015*(1+Assumptions!C39)^MAX(0,12-(Assumptions!C31/12)))</f>
        <v>0.12672075274329</v>
      </c>
      <c r="P9" s="21" t="n">
        <f aca="false">IF(13&lt;=(Assumptions!C31/12),0,'CAPEX Schedule'!C29*0.0015*(1+Assumptions!C39)^MAX(0,13-(Assumptions!C31/12)))</f>
        <v>0.131789582853021</v>
      </c>
      <c r="Q9" s="21" t="n">
        <f aca="false">IF(14&lt;=(Assumptions!C31/12),0,'CAPEX Schedule'!C29*0.0015*(1+Assumptions!C39)^MAX(0,14-(Assumptions!C31/12)))</f>
        <v>0.137061166167142</v>
      </c>
      <c r="R9" s="21" t="n">
        <f aca="false">IF(15&lt;=(Assumptions!C31/12),0,'CAPEX Schedule'!C29*0.0015*(1+Assumptions!C39)^MAX(0,15-(Assumptions!C31/12)))</f>
        <v>0.142543612813828</v>
      </c>
      <c r="S9" s="21" t="n">
        <f aca="false">IF(16&lt;=(Assumptions!C31/12),0,'CAPEX Schedule'!C29*0.0015*(1+Assumptions!C39)^MAX(0,16-(Assumptions!C31/12)))</f>
        <v>0.148245357326381</v>
      </c>
      <c r="T9" s="21" t="n">
        <f aca="false">IF(17&lt;=(Assumptions!C31/12),0,'CAPEX Schedule'!C29*0.0015*(1+Assumptions!C39)^MAX(0,17-(Assumptions!C31/12)))</f>
        <v>0.154175171619436</v>
      </c>
      <c r="U9" s="21" t="n">
        <f aca="false">IF(18&lt;=(Assumptions!C31/12),0,'CAPEX Schedule'!C29*0.0015*(1+Assumptions!C39)^MAX(0,18-(Assumptions!C31/12)))</f>
        <v>0.160342178484214</v>
      </c>
      <c r="V9" s="21" t="n">
        <f aca="false">IF(19&lt;=(Assumptions!C31/12),0,'CAPEX Schedule'!C29*0.0015*(1+Assumptions!C39)^MAX(0,19-(Assumptions!C31/12)))</f>
        <v>0.166755865623582</v>
      </c>
      <c r="W9" s="21" t="n">
        <f aca="false">IF(20&lt;=(Assumptions!C31/12),0,'CAPEX Schedule'!C29*0.0015*(1+Assumptions!C39)^MAX(0,20-(Assumptions!C31/12)))</f>
        <v>0.173426100248525</v>
      </c>
    </row>
    <row r="10" customFormat="false" ht="15" hidden="false" customHeight="true" outlineLevel="0" collapsed="false">
      <c r="B10" s="7" t="s">
        <v>183</v>
      </c>
      <c r="C10" s="12" t="s">
        <v>78</v>
      </c>
      <c r="D10" s="23" t="n">
        <f aca="false">SUM(D5:D9)</f>
        <v>0</v>
      </c>
      <c r="E10" s="23" t="n">
        <f aca="false">SUM(E5:E9)</f>
        <v>0</v>
      </c>
      <c r="F10" s="23" t="n">
        <f aca="false">SUM(F5:F9)</f>
        <v>1.81032384</v>
      </c>
      <c r="G10" s="23" t="n">
        <f aca="false">SUM(G5:G9)</f>
        <v>1.8827367936</v>
      </c>
      <c r="H10" s="23" t="n">
        <f aca="false">SUM(H5:H9)</f>
        <v>1.958046265344</v>
      </c>
      <c r="I10" s="23" t="n">
        <f aca="false">SUM(I5:I9)</f>
        <v>2.03636811595776</v>
      </c>
      <c r="J10" s="23" t="n">
        <f aca="false">SUM(J5:J9)</f>
        <v>2.11782284059607</v>
      </c>
      <c r="K10" s="23" t="n">
        <f aca="false">SUM(K5:K9)</f>
        <v>2.20253575421991</v>
      </c>
      <c r="L10" s="23" t="n">
        <f aca="false">SUM(L5:L9)</f>
        <v>2.29063718438871</v>
      </c>
      <c r="M10" s="23" t="n">
        <f aca="false">SUM(M5:M9)</f>
        <v>2.38226267176426</v>
      </c>
      <c r="N10" s="23" t="n">
        <f aca="false">SUM(N5:N9)</f>
        <v>2.47755317863483</v>
      </c>
      <c r="O10" s="23" t="n">
        <f aca="false">SUM(O5:O9)</f>
        <v>2.57665530578022</v>
      </c>
      <c r="P10" s="23" t="n">
        <f aca="false">SUM(P5:P9)</f>
        <v>2.67972151801143</v>
      </c>
      <c r="Q10" s="23" t="n">
        <f aca="false">SUM(Q5:Q9)</f>
        <v>2.78691037873189</v>
      </c>
      <c r="R10" s="23" t="n">
        <f aca="false">SUM(R5:R9)</f>
        <v>2.89838679388116</v>
      </c>
      <c r="S10" s="23" t="n">
        <f aca="false">SUM(S5:S9)</f>
        <v>3.01432226563641</v>
      </c>
      <c r="T10" s="23" t="n">
        <f aca="false">SUM(T5:T9)</f>
        <v>3.13489515626187</v>
      </c>
      <c r="U10" s="23" t="n">
        <f aca="false">SUM(U5:U9)</f>
        <v>3.26029096251234</v>
      </c>
      <c r="V10" s="23" t="n">
        <f aca="false">SUM(V5:V9)</f>
        <v>3.39070260101284</v>
      </c>
      <c r="W10" s="23" t="n">
        <f aca="false">SUM(W5:W9)</f>
        <v>3.52633070505335</v>
      </c>
    </row>
    <row r="12" customFormat="false" ht="15" hidden="false" customHeight="true" outlineLevel="0" collapsed="false">
      <c r="A12" s="9"/>
      <c r="B12" s="10" t="s">
        <v>184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customFormat="false" ht="15" hidden="false" customHeight="true" outlineLevel="0" collapsed="false">
      <c r="B13" s="5" t="s">
        <v>185</v>
      </c>
      <c r="C13" s="12" t="s">
        <v>78</v>
      </c>
      <c r="D13" s="28" t="n">
        <f aca="false">IF(1&lt;=(Assumptions!C31/12),0,'Revenue Build'!D15*0.06*(1+Assumptions!C39)^MAX(0,1-(Assumptions!C31/12)))</f>
        <v>0</v>
      </c>
      <c r="E13" s="28" t="n">
        <f aca="false">IF(2&lt;=(Assumptions!C31/12),0,'Revenue Build'!E15*0.06*(1+Assumptions!C39)^MAX(0,2-(Assumptions!C31/12)))</f>
        <v>0</v>
      </c>
      <c r="F13" s="28" t="n">
        <f aca="false">IF(3&lt;=(Assumptions!C31/12),0,'Revenue Build'!F15*0.06*(1+Assumptions!C39)^MAX(0,3-(Assumptions!C31/12)))</f>
        <v>0.520297142857143</v>
      </c>
      <c r="G13" s="28" t="n">
        <f aca="false">IF(4&lt;=(Assumptions!C31/12),0,'Revenue Build'!G15*0.06*(1+Assumptions!C39)^MAX(0,4-(Assumptions!C31/12)))</f>
        <v>1.08344887379592</v>
      </c>
      <c r="H13" s="28" t="n">
        <f aca="false">IF(5&lt;=(Assumptions!C31/12),0,'Revenue Build'!H15*0.06*(1+Assumptions!C39)^MAX(0,5-(Assumptions!C31/12)))</f>
        <v>1.43909129250709</v>
      </c>
      <c r="I13" s="28" t="n">
        <f aca="false">IF(6&lt;=(Assumptions!C31/12),0,'Revenue Build'!I15*0.06*(1+Assumptions!C39)^MAX(0,6-(Assumptions!C31/12)))</f>
        <v>1.50002260217842</v>
      </c>
      <c r="J13" s="28" t="n">
        <f aca="false">IF(7&lt;=(Assumptions!C31/12),0,'Revenue Build'!J15*0.06*(1+Assumptions!C39)^MAX(0,7-(Assumptions!C31/12)))</f>
        <v>1.56438529094266</v>
      </c>
      <c r="K13" s="28" t="n">
        <f aca="false">IF(8&lt;=(Assumptions!C31/12),0,'Revenue Build'!K15*0.06*(1+Assumptions!C39)^MAX(0,8-(Assumptions!C31/12)))</f>
        <v>1.63238517613344</v>
      </c>
      <c r="L13" s="28" t="n">
        <f aca="false">IF(9&lt;=(Assumptions!C31/12),0,'Revenue Build'!L15*0.06*(1+Assumptions!C39)^MAX(0,9-(Assumptions!C31/12)))</f>
        <v>1.70424055987012</v>
      </c>
      <c r="M13" s="28" t="n">
        <f aca="false">IF(10&lt;=(Assumptions!C31/12),0,'Revenue Build'!M15*0.06*(1+Assumptions!C39)^MAX(0,10-(Assumptions!C31/12)))</f>
        <v>1.78018298783542</v>
      </c>
      <c r="N13" s="28" t="n">
        <f aca="false">IF(11&lt;=(Assumptions!C31/12),0,'Revenue Build'!N15*0.06*(1+Assumptions!C39)^MAX(0,11-(Assumptions!C31/12)))</f>
        <v>1.86045805418367</v>
      </c>
      <c r="O13" s="28" t="n">
        <f aca="false">IF(12&lt;=(Assumptions!C31/12),0,'Revenue Build'!O15*0.06*(1+Assumptions!C39)^MAX(0,12-(Assumptions!C31/12)))</f>
        <v>1.9453262553844</v>
      </c>
      <c r="P13" s="28" t="n">
        <f aca="false">IF(13&lt;=(Assumptions!C31/12),0,'Revenue Build'!P15*0.06*(1+Assumptions!C39)^MAX(0,13-(Assumptions!C31/12)))</f>
        <v>2.03506389597648</v>
      </c>
      <c r="Q13" s="28" t="n">
        <f aca="false">IF(14&lt;=(Assumptions!C31/12),0,'Revenue Build'!Q15*0.06*(1+Assumptions!C39)^MAX(0,14-(Assumptions!C31/12)))</f>
        <v>2.129964049389</v>
      </c>
      <c r="R13" s="28" t="n">
        <f aca="false">IF(15&lt;=(Assumptions!C31/12),0,'Revenue Build'!R15*0.06*(1+Assumptions!C39)^MAX(0,15-(Assumptions!C31/12)))</f>
        <v>2.23033757717681</v>
      </c>
      <c r="S13" s="28" t="n">
        <f aca="false">IF(16&lt;=(Assumptions!C31/12),0,'Revenue Build'!S15*0.06*(1+Assumptions!C39)^MAX(0,16-(Assumptions!C31/12)))</f>
        <v>2.33651421022243</v>
      </c>
      <c r="T13" s="28" t="n">
        <f aca="false">IF(17&lt;=(Assumptions!C31/12),0,'Revenue Build'!T15*0.06*(1+Assumptions!C39)^MAX(0,17-(Assumptions!C31/12)))</f>
        <v>2.4488436956717</v>
      </c>
      <c r="U13" s="28" t="n">
        <f aca="false">IF(18&lt;=(Assumptions!C31/12),0,'Revenue Build'!U15*0.06*(1+Assumptions!C39)^MAX(0,18-(Assumptions!C31/12)))</f>
        <v>2.56769701359996</v>
      </c>
      <c r="V13" s="28" t="n">
        <f aca="false">IF(19&lt;=(Assumptions!C31/12),0,'Revenue Build'!V15*0.06*(1+Assumptions!C39)^MAX(0,19-(Assumptions!C31/12)))</f>
        <v>2.69346766764807</v>
      </c>
      <c r="W13" s="28" t="n">
        <f aca="false">IF(20&lt;=(Assumptions!C31/12),0,'Revenue Build'!W15*0.06*(1+Assumptions!C39)^MAX(0,20-(Assumptions!C31/12)))</f>
        <v>2.82657305412584</v>
      </c>
    </row>
    <row r="14" customFormat="false" ht="15" hidden="false" customHeight="true" outlineLevel="0" collapsed="false">
      <c r="B14" s="5" t="s">
        <v>186</v>
      </c>
      <c r="C14" s="12" t="s">
        <v>78</v>
      </c>
      <c r="D14" s="28" t="n">
        <f aca="false">IF(1&lt;=(Assumptions!C31/12),0,'Revenue Build'!D15*0.04*(1+Assumptions!C39)^MAX(0,1-(Assumptions!C31/12)))</f>
        <v>0</v>
      </c>
      <c r="E14" s="28" t="n">
        <f aca="false">IF(2&lt;=(Assumptions!C31/12),0,'Revenue Build'!E15*0.04*(1+Assumptions!C39)^MAX(0,2-(Assumptions!C31/12)))</f>
        <v>0</v>
      </c>
      <c r="F14" s="28" t="n">
        <f aca="false">IF(3&lt;=(Assumptions!C31/12),0,'Revenue Build'!F15*0.04*(1+Assumptions!C39)^MAX(0,3-(Assumptions!C31/12)))</f>
        <v>0.346864761904762</v>
      </c>
      <c r="G14" s="28" t="n">
        <f aca="false">IF(4&lt;=(Assumptions!C31/12),0,'Revenue Build'!G15*0.04*(1+Assumptions!C39)^MAX(0,4-(Assumptions!C31/12)))</f>
        <v>0.722299249197279</v>
      </c>
      <c r="H14" s="28" t="n">
        <f aca="false">IF(5&lt;=(Assumptions!C31/12),0,'Revenue Build'!H15*0.04*(1+Assumptions!C39)^MAX(0,5-(Assumptions!C31/12)))</f>
        <v>0.959394195004724</v>
      </c>
      <c r="I14" s="28" t="n">
        <f aca="false">IF(6&lt;=(Assumptions!C31/12),0,'Revenue Build'!I15*0.04*(1+Assumptions!C39)^MAX(0,6-(Assumptions!C31/12)))</f>
        <v>1.00001506811894</v>
      </c>
      <c r="J14" s="28" t="n">
        <f aca="false">IF(7&lt;=(Assumptions!C31/12),0,'Revenue Build'!J15*0.04*(1+Assumptions!C39)^MAX(0,7-(Assumptions!C31/12)))</f>
        <v>1.0429235272951</v>
      </c>
      <c r="K14" s="28" t="n">
        <f aca="false">IF(8&lt;=(Assumptions!C31/12),0,'Revenue Build'!K15*0.04*(1+Assumptions!C39)^MAX(0,8-(Assumptions!C31/12)))</f>
        <v>1.08825678408896</v>
      </c>
      <c r="L14" s="28" t="n">
        <f aca="false">IF(9&lt;=(Assumptions!C31/12),0,'Revenue Build'!L15*0.04*(1+Assumptions!C39)^MAX(0,9-(Assumptions!C31/12)))</f>
        <v>1.13616037324675</v>
      </c>
      <c r="M14" s="28" t="n">
        <f aca="false">IF(10&lt;=(Assumptions!C31/12),0,'Revenue Build'!M15*0.04*(1+Assumptions!C39)^MAX(0,10-(Assumptions!C31/12)))</f>
        <v>1.18678865855695</v>
      </c>
      <c r="N14" s="28" t="n">
        <f aca="false">IF(11&lt;=(Assumptions!C31/12),0,'Revenue Build'!N15*0.04*(1+Assumptions!C39)^MAX(0,11-(Assumptions!C31/12)))</f>
        <v>1.24030536945578</v>
      </c>
      <c r="O14" s="28" t="n">
        <f aca="false">IF(12&lt;=(Assumptions!C31/12),0,'Revenue Build'!O15*0.04*(1+Assumptions!C39)^MAX(0,12-(Assumptions!C31/12)))</f>
        <v>1.29688417025627</v>
      </c>
      <c r="P14" s="28" t="n">
        <f aca="false">IF(13&lt;=(Assumptions!C31/12),0,'Revenue Build'!P15*0.04*(1+Assumptions!C39)^MAX(0,13-(Assumptions!C31/12)))</f>
        <v>1.35670926398432</v>
      </c>
      <c r="Q14" s="28" t="n">
        <f aca="false">IF(14&lt;=(Assumptions!C31/12),0,'Revenue Build'!Q15*0.04*(1+Assumptions!C39)^MAX(0,14-(Assumptions!C31/12)))</f>
        <v>1.419976032926</v>
      </c>
      <c r="R14" s="28" t="n">
        <f aca="false">IF(15&lt;=(Assumptions!C31/12),0,'Revenue Build'!R15*0.04*(1+Assumptions!C39)^MAX(0,15-(Assumptions!C31/12)))</f>
        <v>1.48689171811788</v>
      </c>
      <c r="S14" s="28" t="n">
        <f aca="false">IF(16&lt;=(Assumptions!C31/12),0,'Revenue Build'!S15*0.04*(1+Assumptions!C39)^MAX(0,16-(Assumptions!C31/12)))</f>
        <v>1.55767614014828</v>
      </c>
      <c r="T14" s="28" t="n">
        <f aca="false">IF(17&lt;=(Assumptions!C31/12),0,'Revenue Build'!T15*0.04*(1+Assumptions!C39)^MAX(0,17-(Assumptions!C31/12)))</f>
        <v>1.63256246378113</v>
      </c>
      <c r="U14" s="28" t="n">
        <f aca="false">IF(18&lt;=(Assumptions!C31/12),0,'Revenue Build'!U15*0.04*(1+Assumptions!C39)^MAX(0,18-(Assumptions!C31/12)))</f>
        <v>1.71179800906664</v>
      </c>
      <c r="V14" s="28" t="n">
        <f aca="false">IF(19&lt;=(Assumptions!C31/12),0,'Revenue Build'!V15*0.04*(1+Assumptions!C39)^MAX(0,19-(Assumptions!C31/12)))</f>
        <v>1.79564511176538</v>
      </c>
      <c r="W14" s="28" t="n">
        <f aca="false">IF(20&lt;=(Assumptions!C31/12),0,'Revenue Build'!W15*0.04*(1+Assumptions!C39)^MAX(0,20-(Assumptions!C31/12)))</f>
        <v>1.88438203608389</v>
      </c>
    </row>
    <row r="15" customFormat="false" ht="15" hidden="false" customHeight="true" outlineLevel="0" collapsed="false">
      <c r="B15" s="5" t="s">
        <v>187</v>
      </c>
      <c r="C15" s="12" t="s">
        <v>78</v>
      </c>
      <c r="D15" s="28" t="n">
        <f aca="false">IF(1&lt;=(Assumptions!C31/12),0,'CAPEX Schedule'!C29*Assumptions!C40*(1+Assumptions!C39)^MAX(0,1-(Assumptions!C31/12)))</f>
        <v>0</v>
      </c>
      <c r="E15" s="28" t="n">
        <f aca="false">IF(2&lt;=(Assumptions!C31/12),0,'CAPEX Schedule'!C29*Assumptions!C40*(1+Assumptions!C39)^MAX(0,2-(Assumptions!C31/12)))</f>
        <v>0</v>
      </c>
      <c r="F15" s="28" t="n">
        <f aca="false">IF(3&lt;=(Assumptions!C31/12),0,'CAPEX Schedule'!C29*Assumptions!C40*(1+Assumptions!C39)^MAX(0,3-(Assumptions!C31/12)))</f>
        <v>1.1870976</v>
      </c>
      <c r="G15" s="28" t="n">
        <f aca="false">IF(4&lt;=(Assumptions!C31/12),0,'CAPEX Schedule'!C29*Assumptions!C40*(1+Assumptions!C39)^MAX(0,4-(Assumptions!C31/12)))</f>
        <v>1.234581504</v>
      </c>
      <c r="H15" s="28" t="n">
        <f aca="false">IF(5&lt;=(Assumptions!C31/12),0,'CAPEX Schedule'!C29*Assumptions!C40*(1+Assumptions!C39)^MAX(0,5-(Assumptions!C31/12)))</f>
        <v>1.28396476416</v>
      </c>
      <c r="I15" s="28" t="n">
        <f aca="false">IF(6&lt;=(Assumptions!C31/12),0,'CAPEX Schedule'!C29*Assumptions!C40*(1+Assumptions!C39)^MAX(0,6-(Assumptions!C31/12)))</f>
        <v>1.3353233547264</v>
      </c>
      <c r="J15" s="28" t="n">
        <f aca="false">IF(7&lt;=(Assumptions!C31/12),0,'CAPEX Schedule'!C29*Assumptions!C40*(1+Assumptions!C39)^MAX(0,7-(Assumptions!C31/12)))</f>
        <v>1.38873628891546</v>
      </c>
      <c r="K15" s="28" t="n">
        <f aca="false">IF(8&lt;=(Assumptions!C31/12),0,'CAPEX Schedule'!C29*Assumptions!C40*(1+Assumptions!C39)^MAX(0,8-(Assumptions!C31/12)))</f>
        <v>1.44428574047207</v>
      </c>
      <c r="L15" s="28" t="n">
        <f aca="false">IF(9&lt;=(Assumptions!C31/12),0,'CAPEX Schedule'!C29*Assumptions!C40*(1+Assumptions!C39)^MAX(0,9-(Assumptions!C31/12)))</f>
        <v>1.50205717009096</v>
      </c>
      <c r="M15" s="28" t="n">
        <f aca="false">IF(10&lt;=(Assumptions!C31/12),0,'CAPEX Schedule'!C29*Assumptions!C40*(1+Assumptions!C39)^MAX(0,10-(Assumptions!C31/12)))</f>
        <v>1.5621394568946</v>
      </c>
      <c r="N15" s="28" t="n">
        <f aca="false">IF(11&lt;=(Assumptions!C31/12),0,'CAPEX Schedule'!C29*Assumptions!C40*(1+Assumptions!C39)^MAX(0,11-(Assumptions!C31/12)))</f>
        <v>1.62462503517038</v>
      </c>
      <c r="O15" s="28" t="n">
        <f aca="false">IF(12&lt;=(Assumptions!C31/12),0,'CAPEX Schedule'!C29*Assumptions!C40*(1+Assumptions!C39)^MAX(0,12-(Assumptions!C31/12)))</f>
        <v>1.6896100365772</v>
      </c>
      <c r="P15" s="28" t="n">
        <f aca="false">IF(13&lt;=(Assumptions!C31/12),0,'CAPEX Schedule'!C29*Assumptions!C40*(1+Assumptions!C39)^MAX(0,13-(Assumptions!C31/12)))</f>
        <v>1.75719443804028</v>
      </c>
      <c r="Q15" s="28" t="n">
        <f aca="false">IF(14&lt;=(Assumptions!C31/12),0,'CAPEX Schedule'!C29*Assumptions!C40*(1+Assumptions!C39)^MAX(0,14-(Assumptions!C31/12)))</f>
        <v>1.82748221556189</v>
      </c>
      <c r="R15" s="28" t="n">
        <f aca="false">IF(15&lt;=(Assumptions!C31/12),0,'CAPEX Schedule'!C29*Assumptions!C40*(1+Assumptions!C39)^MAX(0,15-(Assumptions!C31/12)))</f>
        <v>1.90058150418437</v>
      </c>
      <c r="S15" s="28" t="n">
        <f aca="false">IF(16&lt;=(Assumptions!C31/12),0,'CAPEX Schedule'!C29*Assumptions!C40*(1+Assumptions!C39)^MAX(0,16-(Assumptions!C31/12)))</f>
        <v>1.97660476435175</v>
      </c>
      <c r="T15" s="28" t="n">
        <f aca="false">IF(17&lt;=(Assumptions!C31/12),0,'CAPEX Schedule'!C29*Assumptions!C40*(1+Assumptions!C39)^MAX(0,17-(Assumptions!C31/12)))</f>
        <v>2.05566895492581</v>
      </c>
      <c r="U15" s="28" t="n">
        <f aca="false">IF(18&lt;=(Assumptions!C31/12),0,'CAPEX Schedule'!C29*Assumptions!C40*(1+Assumptions!C39)^MAX(0,18-(Assumptions!C31/12)))</f>
        <v>2.13789571312285</v>
      </c>
      <c r="V15" s="28" t="n">
        <f aca="false">IF(19&lt;=(Assumptions!C31/12),0,'CAPEX Schedule'!C29*Assumptions!C40*(1+Assumptions!C39)^MAX(0,19-(Assumptions!C31/12)))</f>
        <v>2.22341154164776</v>
      </c>
      <c r="W15" s="28" t="n">
        <f aca="false">IF(20&lt;=(Assumptions!C31/12),0,'CAPEX Schedule'!C29*Assumptions!C40*(1+Assumptions!C39)^MAX(0,20-(Assumptions!C31/12)))</f>
        <v>2.31234800331367</v>
      </c>
    </row>
    <row r="16" customFormat="false" ht="15" hidden="false" customHeight="true" outlineLevel="0" collapsed="false">
      <c r="B16" s="5" t="s">
        <v>188</v>
      </c>
      <c r="C16" s="12" t="s">
        <v>78</v>
      </c>
      <c r="D16" s="28" t="n">
        <f aca="false">IF(1&lt;=(Assumptions!C31/12),0,'Revenue Build'!D15*0.03*(1+Assumptions!C39)^MAX(0,1-(Assumptions!C31/12)))</f>
        <v>0</v>
      </c>
      <c r="E16" s="28" t="n">
        <f aca="false">IF(2&lt;=(Assumptions!C31/12),0,'Revenue Build'!E15*0.03*(1+Assumptions!C39)^MAX(0,2-(Assumptions!C31/12)))</f>
        <v>0</v>
      </c>
      <c r="F16" s="28" t="n">
        <f aca="false">IF(3&lt;=(Assumptions!C31/12),0,'Revenue Build'!F15*0.03*(1+Assumptions!C39)^MAX(0,3-(Assumptions!C31/12)))</f>
        <v>0.260148571428571</v>
      </c>
      <c r="G16" s="28" t="n">
        <f aca="false">IF(4&lt;=(Assumptions!C31/12),0,'Revenue Build'!G15*0.03*(1+Assumptions!C39)^MAX(0,4-(Assumptions!C31/12)))</f>
        <v>0.541724436897959</v>
      </c>
      <c r="H16" s="28" t="n">
        <f aca="false">IF(5&lt;=(Assumptions!C31/12),0,'Revenue Build'!H15*0.03*(1+Assumptions!C39)^MAX(0,5-(Assumptions!C31/12)))</f>
        <v>0.719545646253543</v>
      </c>
      <c r="I16" s="28" t="n">
        <f aca="false">IF(6&lt;=(Assumptions!C31/12),0,'Revenue Build'!I15*0.03*(1+Assumptions!C39)^MAX(0,6-(Assumptions!C31/12)))</f>
        <v>0.750011301089208</v>
      </c>
      <c r="J16" s="28" t="n">
        <f aca="false">IF(7&lt;=(Assumptions!C31/12),0,'Revenue Build'!J15*0.03*(1+Assumptions!C39)^MAX(0,7-(Assumptions!C31/12)))</f>
        <v>0.782192645471328</v>
      </c>
      <c r="K16" s="28" t="n">
        <f aca="false">IF(8&lt;=(Assumptions!C31/12),0,'Revenue Build'!K15*0.03*(1+Assumptions!C39)^MAX(0,8-(Assumptions!C31/12)))</f>
        <v>0.816192588066719</v>
      </c>
      <c r="L16" s="28" t="n">
        <f aca="false">IF(9&lt;=(Assumptions!C31/12),0,'Revenue Build'!L15*0.03*(1+Assumptions!C39)^MAX(0,9-(Assumptions!C31/12)))</f>
        <v>0.85212027993506</v>
      </c>
      <c r="M16" s="28" t="n">
        <f aca="false">IF(10&lt;=(Assumptions!C31/12),0,'Revenue Build'!M15*0.03*(1+Assumptions!C39)^MAX(0,10-(Assumptions!C31/12)))</f>
        <v>0.890091493917711</v>
      </c>
      <c r="N16" s="28" t="n">
        <f aca="false">IF(11&lt;=(Assumptions!C31/12),0,'Revenue Build'!N15*0.03*(1+Assumptions!C39)^MAX(0,11-(Assumptions!C31/12)))</f>
        <v>0.930229027091836</v>
      </c>
      <c r="O16" s="28" t="n">
        <f aca="false">IF(12&lt;=(Assumptions!C31/12),0,'Revenue Build'!O15*0.03*(1+Assumptions!C39)^MAX(0,12-(Assumptions!C31/12)))</f>
        <v>0.9726631276922</v>
      </c>
      <c r="P16" s="28" t="n">
        <f aca="false">IF(13&lt;=(Assumptions!C31/12),0,'Revenue Build'!P15*0.03*(1+Assumptions!C39)^MAX(0,13-(Assumptions!C31/12)))</f>
        <v>1.01753194798824</v>
      </c>
      <c r="Q16" s="28" t="n">
        <f aca="false">IF(14&lt;=(Assumptions!C31/12),0,'Revenue Build'!Q15*0.03*(1+Assumptions!C39)^MAX(0,14-(Assumptions!C31/12)))</f>
        <v>1.0649820246945</v>
      </c>
      <c r="R16" s="28" t="n">
        <f aca="false">IF(15&lt;=(Assumptions!C31/12),0,'Revenue Build'!R15*0.03*(1+Assumptions!C39)^MAX(0,15-(Assumptions!C31/12)))</f>
        <v>1.11516878858841</v>
      </c>
      <c r="S16" s="28" t="n">
        <f aca="false">IF(16&lt;=(Assumptions!C31/12),0,'Revenue Build'!S15*0.03*(1+Assumptions!C39)^MAX(0,16-(Assumptions!C31/12)))</f>
        <v>1.16825710511121</v>
      </c>
      <c r="T16" s="28" t="n">
        <f aca="false">IF(17&lt;=(Assumptions!C31/12),0,'Revenue Build'!T15*0.03*(1+Assumptions!C39)^MAX(0,17-(Assumptions!C31/12)))</f>
        <v>1.22442184783585</v>
      </c>
      <c r="U16" s="28" t="n">
        <f aca="false">IF(18&lt;=(Assumptions!C31/12),0,'Revenue Build'!U15*0.03*(1+Assumptions!C39)^MAX(0,18-(Assumptions!C31/12)))</f>
        <v>1.28384850679998</v>
      </c>
      <c r="V16" s="28" t="n">
        <f aca="false">IF(19&lt;=(Assumptions!C31/12),0,'Revenue Build'!V15*0.03*(1+Assumptions!C39)^MAX(0,19-(Assumptions!C31/12)))</f>
        <v>1.34673383382403</v>
      </c>
      <c r="W16" s="28" t="n">
        <f aca="false">IF(20&lt;=(Assumptions!C31/12),0,'Revenue Build'!W15*0.03*(1+Assumptions!C39)^MAX(0,20-(Assumptions!C31/12)))</f>
        <v>1.41328652706292</v>
      </c>
    </row>
    <row r="17" customFormat="false" ht="15" hidden="false" customHeight="true" outlineLevel="0" collapsed="false">
      <c r="B17" s="5" t="s">
        <v>189</v>
      </c>
      <c r="C17" s="12" t="s">
        <v>78</v>
      </c>
      <c r="D17" s="28" t="n">
        <f aca="false">IF(1&lt;=(Assumptions!C31/12),0,'Revenue Build'!D15*0.01*(1+Assumptions!C39)^MAX(0,1-(Assumptions!C31/12)))</f>
        <v>0</v>
      </c>
      <c r="E17" s="28" t="n">
        <f aca="false">IF(2&lt;=(Assumptions!C31/12),0,'Revenue Build'!E15*0.01*(1+Assumptions!C39)^MAX(0,2-(Assumptions!C31/12)))</f>
        <v>0</v>
      </c>
      <c r="F17" s="28" t="n">
        <f aca="false">IF(3&lt;=(Assumptions!C31/12),0,'Revenue Build'!F15*0.01*(1+Assumptions!C39)^MAX(0,3-(Assumptions!C31/12)))</f>
        <v>0.0867161904761905</v>
      </c>
      <c r="G17" s="28" t="n">
        <f aca="false">IF(4&lt;=(Assumptions!C31/12),0,'Revenue Build'!G15*0.01*(1+Assumptions!C39)^MAX(0,4-(Assumptions!C31/12)))</f>
        <v>0.18057481229932</v>
      </c>
      <c r="H17" s="28" t="n">
        <f aca="false">IF(5&lt;=(Assumptions!C31/12),0,'Revenue Build'!H15*0.01*(1+Assumptions!C39)^MAX(0,5-(Assumptions!C31/12)))</f>
        <v>0.239848548751181</v>
      </c>
      <c r="I17" s="28" t="n">
        <f aca="false">IF(6&lt;=(Assumptions!C31/12),0,'Revenue Build'!I15*0.01*(1+Assumptions!C39)^MAX(0,6-(Assumptions!C31/12)))</f>
        <v>0.250003767029736</v>
      </c>
      <c r="J17" s="28" t="n">
        <f aca="false">IF(7&lt;=(Assumptions!C31/12),0,'Revenue Build'!J15*0.01*(1+Assumptions!C39)^MAX(0,7-(Assumptions!C31/12)))</f>
        <v>0.260730881823776</v>
      </c>
      <c r="K17" s="28" t="n">
        <f aca="false">IF(8&lt;=(Assumptions!C31/12),0,'Revenue Build'!K15*0.01*(1+Assumptions!C39)^MAX(0,8-(Assumptions!C31/12)))</f>
        <v>0.27206419602224</v>
      </c>
      <c r="L17" s="28" t="n">
        <f aca="false">IF(9&lt;=(Assumptions!C31/12),0,'Revenue Build'!L15*0.01*(1+Assumptions!C39)^MAX(0,9-(Assumptions!C31/12)))</f>
        <v>0.284040093311687</v>
      </c>
      <c r="M17" s="28" t="n">
        <f aca="false">IF(10&lt;=(Assumptions!C31/12),0,'Revenue Build'!M15*0.01*(1+Assumptions!C39)^MAX(0,10-(Assumptions!C31/12)))</f>
        <v>0.296697164639237</v>
      </c>
      <c r="N17" s="28" t="n">
        <f aca="false">IF(11&lt;=(Assumptions!C31/12),0,'Revenue Build'!N15*0.01*(1+Assumptions!C39)^MAX(0,11-(Assumptions!C31/12)))</f>
        <v>0.310076342363945</v>
      </c>
      <c r="O17" s="28" t="n">
        <f aca="false">IF(12&lt;=(Assumptions!C31/12),0,'Revenue Build'!O15*0.01*(1+Assumptions!C39)^MAX(0,12-(Assumptions!C31/12)))</f>
        <v>0.324221042564067</v>
      </c>
      <c r="P17" s="28" t="n">
        <f aca="false">IF(13&lt;=(Assumptions!C31/12),0,'Revenue Build'!P15*0.01*(1+Assumptions!C39)^MAX(0,13-(Assumptions!C31/12)))</f>
        <v>0.339177315996081</v>
      </c>
      <c r="Q17" s="28" t="n">
        <f aca="false">IF(14&lt;=(Assumptions!C31/12),0,'Revenue Build'!Q15*0.01*(1+Assumptions!C39)^MAX(0,14-(Assumptions!C31/12)))</f>
        <v>0.3549940082315</v>
      </c>
      <c r="R17" s="28" t="n">
        <f aca="false">IF(15&lt;=(Assumptions!C31/12),0,'Revenue Build'!R15*0.01*(1+Assumptions!C39)^MAX(0,15-(Assumptions!C31/12)))</f>
        <v>0.371722929529469</v>
      </c>
      <c r="S17" s="28" t="n">
        <f aca="false">IF(16&lt;=(Assumptions!C31/12),0,'Revenue Build'!S15*0.01*(1+Assumptions!C39)^MAX(0,16-(Assumptions!C31/12)))</f>
        <v>0.389419035037071</v>
      </c>
      <c r="T17" s="28" t="n">
        <f aca="false">IF(17&lt;=(Assumptions!C31/12),0,'Revenue Build'!T15*0.01*(1+Assumptions!C39)^MAX(0,17-(Assumptions!C31/12)))</f>
        <v>0.408140615945284</v>
      </c>
      <c r="U17" s="28" t="n">
        <f aca="false">IF(18&lt;=(Assumptions!C31/12),0,'Revenue Build'!U15*0.01*(1+Assumptions!C39)^MAX(0,18-(Assumptions!C31/12)))</f>
        <v>0.42794950226666</v>
      </c>
      <c r="V17" s="28" t="n">
        <f aca="false">IF(19&lt;=(Assumptions!C31/12),0,'Revenue Build'!V15*0.01*(1+Assumptions!C39)^MAX(0,19-(Assumptions!C31/12)))</f>
        <v>0.448911277941345</v>
      </c>
      <c r="W17" s="28" t="n">
        <f aca="false">IF(20&lt;=(Assumptions!C31/12),0,'Revenue Build'!W15*0.01*(1+Assumptions!C39)^MAX(0,20-(Assumptions!C31/12)))</f>
        <v>0.471095509020973</v>
      </c>
    </row>
    <row r="18" customFormat="false" ht="15" hidden="false" customHeight="true" outlineLevel="0" collapsed="false">
      <c r="B18" s="7" t="s">
        <v>190</v>
      </c>
      <c r="C18" s="12" t="s">
        <v>78</v>
      </c>
      <c r="D18" s="23" t="n">
        <f aca="false">SUM(D13:D17)</f>
        <v>0</v>
      </c>
      <c r="E18" s="23" t="n">
        <f aca="false">SUM(E13:E17)</f>
        <v>0</v>
      </c>
      <c r="F18" s="23" t="n">
        <f aca="false">SUM(F13:F17)</f>
        <v>2.40112426666667</v>
      </c>
      <c r="G18" s="23" t="n">
        <f aca="false">SUM(G13:G17)</f>
        <v>3.76262887619048</v>
      </c>
      <c r="H18" s="23" t="n">
        <f aca="false">SUM(H13:H17)</f>
        <v>4.64184444667653</v>
      </c>
      <c r="I18" s="23" t="n">
        <f aca="false">SUM(I13:I17)</f>
        <v>4.8353760931427</v>
      </c>
      <c r="J18" s="23" t="n">
        <f aca="false">SUM(J13:J17)</f>
        <v>5.03896863444832</v>
      </c>
      <c r="K18" s="23" t="n">
        <f aca="false">SUM(K13:K17)</f>
        <v>5.25318448478343</v>
      </c>
      <c r="L18" s="23" t="n">
        <f aca="false">SUM(L13:L17)</f>
        <v>5.47861847645457</v>
      </c>
      <c r="M18" s="23" t="n">
        <f aca="false">SUM(M13:M17)</f>
        <v>5.71589976184391</v>
      </c>
      <c r="N18" s="23" t="n">
        <f aca="false">SUM(N13:N17)</f>
        <v>5.96569382826562</v>
      </c>
      <c r="O18" s="23" t="n">
        <f aca="false">SUM(O13:O17)</f>
        <v>6.22870463247413</v>
      </c>
      <c r="P18" s="23" t="n">
        <f aca="false">SUM(P13:P17)</f>
        <v>6.50567686198541</v>
      </c>
      <c r="Q18" s="23" t="n">
        <f aca="false">SUM(Q13:Q17)</f>
        <v>6.7973983308029</v>
      </c>
      <c r="R18" s="23" t="n">
        <f aca="false">SUM(R13:R17)</f>
        <v>7.10470251759693</v>
      </c>
      <c r="S18" s="23" t="n">
        <f aca="false">SUM(S13:S17)</f>
        <v>7.42847125487074</v>
      </c>
      <c r="T18" s="23" t="n">
        <f aca="false">SUM(T13:T17)</f>
        <v>7.76963757815979</v>
      </c>
      <c r="U18" s="23" t="n">
        <f aca="false">SUM(U13:U17)</f>
        <v>8.12918874485609</v>
      </c>
      <c r="V18" s="23" t="n">
        <f aca="false">SUM(V13:V17)</f>
        <v>8.50816943282659</v>
      </c>
      <c r="W18" s="23" t="n">
        <f aca="false">SUM(W13:W17)</f>
        <v>8.90768512960729</v>
      </c>
    </row>
    <row r="20" customFormat="false" ht="15" hidden="false" customHeight="true" outlineLevel="0" collapsed="false">
      <c r="A20" s="9"/>
      <c r="B20" s="10" t="s">
        <v>191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customFormat="false" ht="15" hidden="false" customHeight="true" outlineLevel="0" collapsed="false">
      <c r="B21" s="5" t="s">
        <v>192</v>
      </c>
      <c r="C21" s="12" t="s">
        <v>78</v>
      </c>
      <c r="D21" s="28" t="n">
        <f aca="false">IF(1&lt;=(Assumptions!C31/12),0,'CAPEX Schedule'!C29*0.02)</f>
        <v>0</v>
      </c>
      <c r="E21" s="28" t="n">
        <f aca="false">IF(2&lt;=(Assumptions!C31/12),0,'CAPEX Schedule'!C29*0.02)</f>
        <v>0</v>
      </c>
      <c r="F21" s="28" t="n">
        <f aca="false">IF(3&lt;=(Assumptions!C31/12),0,'CAPEX Schedule'!C29*0.02)</f>
        <v>1.14144</v>
      </c>
      <c r="G21" s="28" t="n">
        <f aca="false">IF(4&lt;=(Assumptions!C31/12),0,'CAPEX Schedule'!C29*0.02)</f>
        <v>1.14144</v>
      </c>
      <c r="H21" s="28" t="n">
        <f aca="false">IF(5&lt;=(Assumptions!C31/12),0,'CAPEX Schedule'!C29*0.02)</f>
        <v>1.14144</v>
      </c>
      <c r="I21" s="28" t="n">
        <f aca="false">IF(6&lt;=(Assumptions!C31/12),0,'CAPEX Schedule'!C29*0.02)</f>
        <v>1.14144</v>
      </c>
      <c r="J21" s="28" t="n">
        <f aca="false">IF(7&lt;=(Assumptions!C31/12),0,'CAPEX Schedule'!C29*0.02)</f>
        <v>1.14144</v>
      </c>
      <c r="K21" s="28" t="n">
        <f aca="false">IF(8&lt;=(Assumptions!C31/12),0,'CAPEX Schedule'!C29*0.02)</f>
        <v>1.14144</v>
      </c>
      <c r="L21" s="28" t="n">
        <f aca="false">IF(9&lt;=(Assumptions!C31/12),0,'CAPEX Schedule'!C29*0.02)</f>
        <v>1.14144</v>
      </c>
      <c r="M21" s="28" t="n">
        <f aca="false">IF(10&lt;=(Assumptions!C31/12),0,'CAPEX Schedule'!C29*0.02)</f>
        <v>1.14144</v>
      </c>
      <c r="N21" s="28" t="n">
        <f aca="false">IF(11&lt;=(Assumptions!C31/12),0,'CAPEX Schedule'!C29*0.02)</f>
        <v>1.14144</v>
      </c>
      <c r="O21" s="28" t="n">
        <f aca="false">IF(12&lt;=(Assumptions!C31/12),0,'CAPEX Schedule'!C29*0.02)</f>
        <v>1.14144</v>
      </c>
      <c r="P21" s="28" t="n">
        <f aca="false">IF(13&lt;=(Assumptions!C31/12),0,'CAPEX Schedule'!C29*0.02)</f>
        <v>1.14144</v>
      </c>
      <c r="Q21" s="28" t="n">
        <f aca="false">IF(14&lt;=(Assumptions!C31/12),0,'CAPEX Schedule'!C29*0.02)</f>
        <v>1.14144</v>
      </c>
      <c r="R21" s="28" t="n">
        <f aca="false">IF(15&lt;=(Assumptions!C31/12),0,'CAPEX Schedule'!C29*0.02)</f>
        <v>1.14144</v>
      </c>
      <c r="S21" s="28" t="n">
        <f aca="false">IF(16&lt;=(Assumptions!C31/12),0,'CAPEX Schedule'!C29*0.02)</f>
        <v>1.14144</v>
      </c>
      <c r="T21" s="28" t="n">
        <f aca="false">IF(17&lt;=(Assumptions!C31/12),0,'CAPEX Schedule'!C29*0.02)</f>
        <v>1.14144</v>
      </c>
      <c r="U21" s="28" t="n">
        <f aca="false">IF(18&lt;=(Assumptions!C31/12),0,'CAPEX Schedule'!C29*0.02)</f>
        <v>1.14144</v>
      </c>
      <c r="V21" s="28" t="n">
        <f aca="false">IF(19&lt;=(Assumptions!C31/12),0,'CAPEX Schedule'!C29*0.02)</f>
        <v>1.14144</v>
      </c>
      <c r="W21" s="28" t="n">
        <f aca="false">IF(20&lt;=(Assumptions!C31/12),0,'CAPEX Schedule'!C29*0.02)</f>
        <v>1.14144</v>
      </c>
    </row>
    <row r="22" customFormat="false" ht="15" hidden="false" customHeight="true" outlineLevel="0" collapsed="false">
      <c r="B22" s="5" t="s">
        <v>193</v>
      </c>
      <c r="C22" s="12" t="s">
        <v>78</v>
      </c>
      <c r="D22" s="28" t="n">
        <f aca="false">'CAPEX Schedule'!C29*Assumptions!C19</f>
        <v>0.85608</v>
      </c>
      <c r="E22" s="28" t="n">
        <f aca="false">'CAPEX Schedule'!C29*Assumptions!C19</f>
        <v>0.85608</v>
      </c>
      <c r="F22" s="28" t="n">
        <f aca="false">'CAPEX Schedule'!C29*Assumptions!C19</f>
        <v>0.85608</v>
      </c>
      <c r="G22" s="28" t="n">
        <f aca="false">'CAPEX Schedule'!C29*Assumptions!C19</f>
        <v>0.85608</v>
      </c>
      <c r="H22" s="28" t="n">
        <f aca="false">'CAPEX Schedule'!C29*Assumptions!C19</f>
        <v>0.85608</v>
      </c>
      <c r="I22" s="28" t="n">
        <f aca="false">'CAPEX Schedule'!C29*Assumptions!C19</f>
        <v>0.85608</v>
      </c>
      <c r="J22" s="28" t="n">
        <f aca="false">'CAPEX Schedule'!C29*Assumptions!C19</f>
        <v>0.85608</v>
      </c>
      <c r="K22" s="28" t="n">
        <f aca="false">'CAPEX Schedule'!C29*Assumptions!C19</f>
        <v>0.85608</v>
      </c>
      <c r="L22" s="28" t="n">
        <f aca="false">'CAPEX Schedule'!C29*Assumptions!C19</f>
        <v>0.85608</v>
      </c>
      <c r="M22" s="28" t="n">
        <f aca="false">'CAPEX Schedule'!C29*Assumptions!C19</f>
        <v>0.85608</v>
      </c>
      <c r="N22" s="28" t="n">
        <f aca="false">'CAPEX Schedule'!C29*Assumptions!C19</f>
        <v>0.85608</v>
      </c>
      <c r="O22" s="28" t="n">
        <f aca="false">'CAPEX Schedule'!C29*Assumptions!C19</f>
        <v>0.85608</v>
      </c>
      <c r="P22" s="28" t="n">
        <f aca="false">'CAPEX Schedule'!C29*Assumptions!C19</f>
        <v>0.85608</v>
      </c>
      <c r="Q22" s="28" t="n">
        <f aca="false">'CAPEX Schedule'!C29*Assumptions!C19</f>
        <v>0.85608</v>
      </c>
      <c r="R22" s="28" t="n">
        <f aca="false">'CAPEX Schedule'!C29*Assumptions!C19</f>
        <v>0.85608</v>
      </c>
      <c r="S22" s="28" t="n">
        <f aca="false">'CAPEX Schedule'!C29*Assumptions!C19</f>
        <v>0.85608</v>
      </c>
      <c r="T22" s="28" t="n">
        <f aca="false">'CAPEX Schedule'!C29*Assumptions!C19</f>
        <v>0.85608</v>
      </c>
      <c r="U22" s="28" t="n">
        <f aca="false">'CAPEX Schedule'!C29*Assumptions!C19</f>
        <v>0.85608</v>
      </c>
      <c r="V22" s="28" t="n">
        <f aca="false">'CAPEX Schedule'!C29*Assumptions!C19</f>
        <v>0.85608</v>
      </c>
      <c r="W22" s="28" t="n">
        <f aca="false">'CAPEX Schedule'!C29*Assumptions!C19</f>
        <v>0.85608</v>
      </c>
    </row>
    <row r="23" customFormat="false" ht="15" hidden="false" customHeight="true" outlineLevel="0" collapsed="false">
      <c r="B23" s="5" t="s">
        <v>194</v>
      </c>
      <c r="C23" s="12" t="s">
        <v>78</v>
      </c>
      <c r="D23" s="28" t="n">
        <f aca="false">IF(1&lt;=(Assumptions!C31/12),0,'Revenue Build'!D15*0.005)</f>
        <v>0</v>
      </c>
      <c r="E23" s="28" t="n">
        <f aca="false">IF(2&lt;=(Assumptions!C31/12),0,'Revenue Build'!E15*0.005)</f>
        <v>0</v>
      </c>
      <c r="F23" s="28" t="n">
        <f aca="false">IF(3&lt;=(Assumptions!C31/12),0,'Revenue Build'!F15*0.005)</f>
        <v>0.0416904761904762</v>
      </c>
      <c r="G23" s="28" t="n">
        <f aca="false">IF(4&lt;=(Assumptions!C31/12),0,'Revenue Build'!G15*0.005)</f>
        <v>0.0834757823129251</v>
      </c>
      <c r="H23" s="28" t="n">
        <f aca="false">IF(5&lt;=(Assumptions!C31/12),0,'Revenue Build'!H15*0.005)</f>
        <v>0.106612243236152</v>
      </c>
      <c r="I23" s="28" t="n">
        <f aca="false">IF(6&lt;=(Assumptions!C31/12),0,'Revenue Build'!I15*0.005)</f>
        <v>0.106852133915119</v>
      </c>
      <c r="J23" s="28" t="n">
        <f aca="false">IF(7&lt;=(Assumptions!C31/12),0,'Revenue Build'!J15*0.005)</f>
        <v>0.107150889670115</v>
      </c>
      <c r="K23" s="28" t="n">
        <f aca="false">IF(8&lt;=(Assumptions!C31/12),0,'Revenue Build'!K15*0.005)</f>
        <v>0.107508143023735</v>
      </c>
      <c r="L23" s="28" t="n">
        <f aca="false">IF(9&lt;=(Assumptions!C31/12),0,'Revenue Build'!L15*0.005)</f>
        <v>0.107923563285563</v>
      </c>
      <c r="M23" s="28" t="n">
        <f aca="false">IF(10&lt;=(Assumptions!C31/12),0,'Revenue Build'!M15*0.005)</f>
        <v>0.108396856026876</v>
      </c>
      <c r="N23" s="28" t="n">
        <f aca="false">IF(11&lt;=(Assumptions!C31/12),0,'Revenue Build'!N15*0.005)</f>
        <v>0.108927762580854</v>
      </c>
      <c r="O23" s="28" t="n">
        <f aca="false">IF(12&lt;=(Assumptions!C31/12),0,'Revenue Build'!O15*0.005)</f>
        <v>0.109516059567814</v>
      </c>
      <c r="P23" s="28" t="n">
        <f aca="false">IF(13&lt;=(Assumptions!C31/12),0,'Revenue Build'!P15*0.005)</f>
        <v>0.110161558444931</v>
      </c>
      <c r="Q23" s="28" t="n">
        <f aca="false">IF(14&lt;=(Assumptions!C31/12),0,'Revenue Build'!Q15*0.005)</f>
        <v>0.110864105079998</v>
      </c>
      <c r="R23" s="28" t="n">
        <f aca="false">IF(15&lt;=(Assumptions!C31/12),0,'Revenue Build'!R15*0.005)</f>
        <v>0.111623579348733</v>
      </c>
      <c r="S23" s="28" t="n">
        <f aca="false">IF(16&lt;=(Assumptions!C31/12),0,'Revenue Build'!S15*0.005)</f>
        <v>0.11243989475521</v>
      </c>
      <c r="T23" s="28" t="n">
        <f aca="false">IF(17&lt;=(Assumptions!C31/12),0,'Revenue Build'!T15*0.005)</f>
        <v>0.113312998074974</v>
      </c>
      <c r="U23" s="28" t="n">
        <f aca="false">IF(18&lt;=(Assumptions!C31/12),0,'Revenue Build'!U15*0.005)</f>
        <v>0.114242869020428</v>
      </c>
      <c r="V23" s="28" t="n">
        <f aca="false">IF(19&lt;=(Assumptions!C31/12),0,'Revenue Build'!V15*0.005)</f>
        <v>0.115229519928107</v>
      </c>
      <c r="W23" s="28" t="n">
        <f aca="false">IF(20&lt;=(Assumptions!C31/12),0,'Revenue Build'!W15*0.005)</f>
        <v>0.116272995467446</v>
      </c>
    </row>
    <row r="24" customFormat="false" ht="15" hidden="false" customHeight="true" outlineLevel="0" collapsed="false">
      <c r="B24" s="5" t="s">
        <v>195</v>
      </c>
      <c r="C24" s="12" t="s">
        <v>78</v>
      </c>
      <c r="D24" s="28" t="n">
        <f aca="false">IF(1&lt;=(Assumptions!C31/12),0,'CAPEX Schedule'!C29*Assumptions!C40)</f>
        <v>0</v>
      </c>
      <c r="E24" s="28" t="n">
        <f aca="false">IF(2&lt;=(Assumptions!C31/12),0,'CAPEX Schedule'!C29*Assumptions!C40)</f>
        <v>0</v>
      </c>
      <c r="F24" s="28" t="n">
        <f aca="false">IF(3&lt;=(Assumptions!C31/12),0,'CAPEX Schedule'!C29*Assumptions!C40)</f>
        <v>1.14144</v>
      </c>
      <c r="G24" s="28" t="n">
        <f aca="false">IF(4&lt;=(Assumptions!C31/12),0,'CAPEX Schedule'!C29*Assumptions!C40)</f>
        <v>1.14144</v>
      </c>
      <c r="H24" s="28" t="n">
        <f aca="false">IF(5&lt;=(Assumptions!C31/12),0,'CAPEX Schedule'!C29*Assumptions!C40)</f>
        <v>1.14144</v>
      </c>
      <c r="I24" s="28" t="n">
        <f aca="false">IF(6&lt;=(Assumptions!C31/12),0,'CAPEX Schedule'!C29*Assumptions!C40)</f>
        <v>1.14144</v>
      </c>
      <c r="J24" s="28" t="n">
        <f aca="false">IF(7&lt;=(Assumptions!C31/12),0,'CAPEX Schedule'!C29*Assumptions!C40)</f>
        <v>1.14144</v>
      </c>
      <c r="K24" s="28" t="n">
        <f aca="false">IF(8&lt;=(Assumptions!C31/12),0,'CAPEX Schedule'!C29*Assumptions!C40)</f>
        <v>1.14144</v>
      </c>
      <c r="L24" s="28" t="n">
        <f aca="false">IF(9&lt;=(Assumptions!C31/12),0,'CAPEX Schedule'!C29*Assumptions!C40)</f>
        <v>1.14144</v>
      </c>
      <c r="M24" s="28" t="n">
        <f aca="false">IF(10&lt;=(Assumptions!C31/12),0,'CAPEX Schedule'!C29*Assumptions!C40)</f>
        <v>1.14144</v>
      </c>
      <c r="N24" s="28" t="n">
        <f aca="false">IF(11&lt;=(Assumptions!C31/12),0,'CAPEX Schedule'!C29*Assumptions!C40)</f>
        <v>1.14144</v>
      </c>
      <c r="O24" s="28" t="n">
        <f aca="false">IF(12&lt;=(Assumptions!C31/12),0,'CAPEX Schedule'!C29*Assumptions!C40)</f>
        <v>1.14144</v>
      </c>
      <c r="P24" s="28" t="n">
        <f aca="false">IF(13&lt;=(Assumptions!C31/12),0,'CAPEX Schedule'!C29*Assumptions!C40)</f>
        <v>1.14144</v>
      </c>
      <c r="Q24" s="28" t="n">
        <f aca="false">IF(14&lt;=(Assumptions!C31/12),0,'CAPEX Schedule'!C29*Assumptions!C40)</f>
        <v>1.14144</v>
      </c>
      <c r="R24" s="28" t="n">
        <f aca="false">IF(15&lt;=(Assumptions!C31/12),0,'CAPEX Schedule'!C29*Assumptions!C40)</f>
        <v>1.14144</v>
      </c>
      <c r="S24" s="28" t="n">
        <f aca="false">IF(16&lt;=(Assumptions!C31/12),0,'CAPEX Schedule'!C29*Assumptions!C40)</f>
        <v>1.14144</v>
      </c>
      <c r="T24" s="28" t="n">
        <f aca="false">IF(17&lt;=(Assumptions!C31/12),0,'CAPEX Schedule'!C29*Assumptions!C40)</f>
        <v>1.14144</v>
      </c>
      <c r="U24" s="28" t="n">
        <f aca="false">IF(18&lt;=(Assumptions!C31/12),0,'CAPEX Schedule'!C29*Assumptions!C40)</f>
        <v>1.14144</v>
      </c>
      <c r="V24" s="28" t="n">
        <f aca="false">IF(19&lt;=(Assumptions!C31/12),0,'CAPEX Schedule'!C29*Assumptions!C40)</f>
        <v>1.14144</v>
      </c>
      <c r="W24" s="28" t="n">
        <f aca="false">IF(20&lt;=(Assumptions!C31/12),0,'CAPEX Schedule'!C29*Assumptions!C40)</f>
        <v>1.14144</v>
      </c>
    </row>
    <row r="25" customFormat="false" ht="15" hidden="false" customHeight="true" outlineLevel="0" collapsed="false">
      <c r="B25" s="5" t="s">
        <v>196</v>
      </c>
      <c r="C25" s="12" t="s">
        <v>78</v>
      </c>
      <c r="D25" s="21" t="n">
        <f aca="false">IF(1&lt;=Assumptions!C31/12,0,'Revenue Build'!D15*Assumptions!C41/365)</f>
        <v>0</v>
      </c>
      <c r="E25" s="28" t="n">
        <f aca="false">IF(2&lt;=Assumptions!C31/12,0,'Revenue Build'!E15*Assumptions!C41/365-'Revenue Build'!D15*Assumptions!C41/365)</f>
        <v>0</v>
      </c>
      <c r="F25" s="28" t="n">
        <f aca="false">IF(3&lt;=Assumptions!C31/12,0,'Revenue Build'!F15*Assumptions!C41/365-'Revenue Build'!E15*Assumptions!C41/365)</f>
        <v>1.3706457925636</v>
      </c>
      <c r="G25" s="28" t="n">
        <f aca="false">IF(4&lt;=Assumptions!C31/12,0,'Revenue Build'!G15*Assumptions!C41/365-'Revenue Build'!F15*Assumptions!C41/365)</f>
        <v>1.37376348895723</v>
      </c>
      <c r="H25" s="28" t="n">
        <f aca="false">IF(5&lt;=Assumptions!C31/12,0,'Revenue Build'!H15*Assumptions!C41/365-'Revenue Build'!G15*Assumptions!C41/365)</f>
        <v>0.760650770078679</v>
      </c>
      <c r="I25" s="28" t="n">
        <f aca="false">IF(6&lt;=Assumptions!C31/12,0,'Revenue Build'!I15*Assumptions!C41/365-'Revenue Build'!H15*Assumptions!C41/365)</f>
        <v>0.00788681684275305</v>
      </c>
      <c r="J25" s="28" t="n">
        <f aca="false">IF(7&lt;=Assumptions!C31/12,0,'Revenue Build'!J15*Assumptions!C41/365-'Revenue Build'!I15*Assumptions!C41/365)</f>
        <v>0.00982210701358799</v>
      </c>
      <c r="K25" s="28" t="n">
        <f aca="false">IF(8&lt;=Assumptions!C31/12,0,'Revenue Build'!K15*Assumptions!C41/365-'Revenue Build'!J15*Assumptions!C41/365)</f>
        <v>0.0117453157354364</v>
      </c>
      <c r="L25" s="28" t="n">
        <f aca="false">IF(9&lt;=Assumptions!C31/12,0,'Revenue Build'!L15*Assumptions!C41/365-'Revenue Build'!K15*Assumptions!C41/365)</f>
        <v>0.0136576524436811</v>
      </c>
      <c r="M25" s="28" t="n">
        <f aca="false">IF(10&lt;=Assumptions!C31/12,0,'Revenue Build'!M15*Assumptions!C41/365-'Revenue Build'!L15*Assumptions!C41/365)</f>
        <v>0.0155603093034147</v>
      </c>
      <c r="N25" s="28" t="n">
        <f aca="false">IF(11&lt;=Assumptions!C31/12,0,'Revenue Build'!N15*Assumptions!C41/365-'Revenue Build'!M15*Assumptions!C41/365)</f>
        <v>0.0174544620486063</v>
      </c>
      <c r="O25" s="28" t="n">
        <f aca="false">IF(12&lt;=Assumptions!C31/12,0,'Revenue Build'!O15*Assumptions!C41/365-'Revenue Build'!N15*Assumptions!C41/365)</f>
        <v>0.0193412708041532</v>
      </c>
      <c r="P25" s="28" t="n">
        <f aca="false">IF(13&lt;=Assumptions!C31/12,0,'Revenue Build'!P15*Assumptions!C41/365-'Revenue Build'!O15*Assumptions!C41/365)</f>
        <v>0.0212218808915399</v>
      </c>
      <c r="Q25" s="28" t="n">
        <f aca="false">IF(14&lt;=Assumptions!C31/12,0,'Revenue Build'!Q15*Assumptions!C41/365-'Revenue Build'!P15*Assumptions!C41/365)</f>
        <v>0.0230974236186352</v>
      </c>
      <c r="R25" s="28" t="n">
        <f aca="false">IF(15&lt;=Assumptions!C31/12,0,'Revenue Build'!R15*Assumptions!C41/365-'Revenue Build'!Q15*Assumptions!C41/365)</f>
        <v>0.024969017054294</v>
      </c>
      <c r="S25" s="28" t="n">
        <f aca="false">IF(16&lt;=Assumptions!C31/12,0,'Revenue Build'!S15*Assumptions!C41/365-'Revenue Build'!R15*Assumptions!C41/365)</f>
        <v>0.0268377667882875</v>
      </c>
      <c r="T25" s="28" t="n">
        <f aca="false">IF(17&lt;=Assumptions!C31/12,0,'Revenue Build'!T15*Assumptions!C41/365-'Revenue Build'!S15*Assumptions!C41/365)</f>
        <v>0.028704766677162</v>
      </c>
      <c r="U25" s="28" t="n">
        <f aca="false">IF(18&lt;=Assumptions!C31/12,0,'Revenue Build'!U15*Assumptions!C41/365-'Revenue Build'!T15*Assumptions!C41/365)</f>
        <v>0.0305710995765827</v>
      </c>
      <c r="V25" s="28" t="n">
        <f aca="false">IF(19&lt;=Assumptions!C31/12,0,'Revenue Build'!V15*Assumptions!C41/365-'Revenue Build'!U15*Assumptions!C41/365)</f>
        <v>0.0324378380606811</v>
      </c>
      <c r="W25" s="28" t="n">
        <f aca="false">IF(20&lt;=Assumptions!C31/12,0,'Revenue Build'!W15*Assumptions!C41/365-'Revenue Build'!V15*Assumptions!C41/365)</f>
        <v>0.0343060451289601</v>
      </c>
    </row>
    <row r="26" customFormat="false" ht="15" hidden="false" customHeight="true" outlineLevel="0" collapsed="false">
      <c r="B26" s="7" t="s">
        <v>197</v>
      </c>
      <c r="C26" s="12" t="s">
        <v>78</v>
      </c>
      <c r="D26" s="23" t="n">
        <f aca="false">SUM(D21:D25)</f>
        <v>0.85608</v>
      </c>
      <c r="E26" s="23" t="n">
        <f aca="false">SUM(E21:E25)</f>
        <v>0.85608</v>
      </c>
      <c r="F26" s="23" t="n">
        <f aca="false">SUM(F21:F25)</f>
        <v>4.55129626875408</v>
      </c>
      <c r="G26" s="23" t="n">
        <f aca="false">SUM(G21:G25)</f>
        <v>4.59619927127015</v>
      </c>
      <c r="H26" s="23" t="n">
        <f aca="false">SUM(H21:H25)</f>
        <v>4.00622301331483</v>
      </c>
      <c r="I26" s="23" t="n">
        <f aca="false">SUM(I21:I25)</f>
        <v>3.25369895075787</v>
      </c>
      <c r="J26" s="23" t="n">
        <f aca="false">SUM(J21:J25)</f>
        <v>3.2559329966837</v>
      </c>
      <c r="K26" s="23" t="n">
        <f aca="false">SUM(K21:K25)</f>
        <v>3.25821345875917</v>
      </c>
      <c r="L26" s="23" t="n">
        <f aca="false">SUM(L21:L25)</f>
        <v>3.26054121572924</v>
      </c>
      <c r="M26" s="23" t="n">
        <f aca="false">SUM(M21:M25)</f>
        <v>3.26291716533029</v>
      </c>
      <c r="N26" s="23" t="n">
        <f aca="false">SUM(N21:N25)</f>
        <v>3.26534222462946</v>
      </c>
      <c r="O26" s="23" t="n">
        <f aca="false">SUM(O21:O25)</f>
        <v>3.26781733037197</v>
      </c>
      <c r="P26" s="23" t="n">
        <f aca="false">SUM(P21:P25)</f>
        <v>3.27034343933647</v>
      </c>
      <c r="Q26" s="23" t="n">
        <f aca="false">SUM(Q21:Q25)</f>
        <v>3.27292152869863</v>
      </c>
      <c r="R26" s="23" t="n">
        <f aca="false">SUM(R21:R25)</f>
        <v>3.27555259640303</v>
      </c>
      <c r="S26" s="23" t="n">
        <f aca="false">SUM(S21:S25)</f>
        <v>3.2782376615435</v>
      </c>
      <c r="T26" s="23" t="n">
        <f aca="false">SUM(T21:T25)</f>
        <v>3.28097776475214</v>
      </c>
      <c r="U26" s="23" t="n">
        <f aca="false">SUM(U21:U25)</f>
        <v>3.28377396859701</v>
      </c>
      <c r="V26" s="23" t="n">
        <f aca="false">SUM(V21:V25)</f>
        <v>3.28662735798879</v>
      </c>
      <c r="W26" s="23" t="n">
        <f aca="false">SUM(W21:W25)</f>
        <v>3.28953904059641</v>
      </c>
    </row>
    <row r="28" customFormat="false" ht="15" hidden="false" customHeight="true" outlineLevel="0" collapsed="false">
      <c r="B28" s="6" t="s">
        <v>198</v>
      </c>
      <c r="D28" s="23" t="n">
        <f aca="false">D10+D18+D26</f>
        <v>0.85608</v>
      </c>
      <c r="E28" s="23" t="n">
        <f aca="false">E10+E18+E26</f>
        <v>0.85608</v>
      </c>
      <c r="F28" s="23" t="n">
        <f aca="false">F10+F18+F26</f>
        <v>8.76274437542074</v>
      </c>
      <c r="G28" s="23" t="n">
        <f aca="false">G10+G18+G26</f>
        <v>10.2415649410606</v>
      </c>
      <c r="H28" s="23" t="n">
        <f aca="false">H10+H18+H26</f>
        <v>10.6061137253354</v>
      </c>
      <c r="I28" s="23" t="n">
        <f aca="false">I10+I18+I26</f>
        <v>10.1254431598583</v>
      </c>
      <c r="J28" s="23" t="n">
        <f aca="false">J10+J18+J26</f>
        <v>10.4127244717281</v>
      </c>
      <c r="K28" s="23" t="n">
        <f aca="false">K10+K18+K26</f>
        <v>10.7139336977625</v>
      </c>
      <c r="L28" s="23" t="n">
        <f aca="false">L10+L18+L26</f>
        <v>11.0297968765725</v>
      </c>
      <c r="M28" s="23" t="n">
        <f aca="false">M10+M18+M26</f>
        <v>11.3610795989385</v>
      </c>
      <c r="N28" s="23" t="n">
        <f aca="false">N10+N18+N26</f>
        <v>11.7085892315299</v>
      </c>
      <c r="O28" s="23" t="n">
        <f aca="false">O10+O18+O26</f>
        <v>12.0731772686263</v>
      </c>
      <c r="P28" s="23" t="n">
        <f aca="false">P10+P18+P26</f>
        <v>12.4557418193333</v>
      </c>
      <c r="Q28" s="23" t="n">
        <f aca="false">Q10+Q18+Q26</f>
        <v>12.8572302382334</v>
      </c>
      <c r="R28" s="23" t="n">
        <f aca="false">R10+R18+R26</f>
        <v>13.2786419078811</v>
      </c>
      <c r="S28" s="23" t="n">
        <f aca="false">S10+S18+S26</f>
        <v>13.7210311820506</v>
      </c>
      <c r="T28" s="23" t="n">
        <f aca="false">T10+T18+T26</f>
        <v>14.1855104991738</v>
      </c>
      <c r="U28" s="23" t="n">
        <f aca="false">U10+U18+U26</f>
        <v>14.6732536759654</v>
      </c>
      <c r="V28" s="23" t="n">
        <f aca="false">V10+V18+V26</f>
        <v>15.1854993918282</v>
      </c>
      <c r="W28" s="23" t="n">
        <f aca="false">W10+W18+W26</f>
        <v>15.723554875257</v>
      </c>
    </row>
  </sheetData>
  <mergeCells count="1">
    <mergeCell ref="B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23" min="4" style="1" width="14"/>
  </cols>
  <sheetData>
    <row r="1" customFormat="false" ht="17.25" hidden="false" customHeight="true" outlineLevel="0" collapsed="false">
      <c r="B1" s="8" t="s">
        <v>199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3" customFormat="false" ht="15" hidden="false" customHeight="true" outlineLevel="0" collapsed="false">
      <c r="B3" s="7" t="s">
        <v>200</v>
      </c>
      <c r="C3" s="7" t="s">
        <v>59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</row>
    <row r="4" customFormat="false" ht="15" hidden="false" customHeight="true" outlineLevel="0" collapsed="false">
      <c r="A4" s="9"/>
      <c r="B4" s="10" t="s">
        <v>201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customFormat="false" ht="15" hidden="false" customHeight="true" outlineLevel="0" collapsed="false">
      <c r="B5" s="5" t="s">
        <v>202</v>
      </c>
      <c r="C5" s="12" t="s">
        <v>78</v>
      </c>
    </row>
    <row r="6" customFormat="false" ht="15" hidden="false" customHeight="true" outlineLevel="0" collapsed="false">
      <c r="B6" s="5" t="s">
        <v>203</v>
      </c>
      <c r="C6" s="12" t="s">
        <v>78</v>
      </c>
    </row>
    <row r="7" customFormat="false" ht="15" hidden="false" customHeight="true" outlineLevel="0" collapsed="false">
      <c r="B7" s="5" t="s">
        <v>204</v>
      </c>
      <c r="C7" s="12" t="s">
        <v>78</v>
      </c>
    </row>
    <row r="8" customFormat="false" ht="15" hidden="false" customHeight="true" outlineLevel="0" collapsed="false">
      <c r="B8" s="5" t="s">
        <v>205</v>
      </c>
      <c r="C8" s="12" t="s">
        <v>78</v>
      </c>
    </row>
    <row r="9" customFormat="false" ht="15" hidden="false" customHeight="true" outlineLevel="0" collapsed="false">
      <c r="B9" s="7" t="s">
        <v>206</v>
      </c>
      <c r="C9" s="12" t="s">
        <v>78</v>
      </c>
    </row>
    <row r="11" customFormat="false" ht="15" hidden="false" customHeight="true" outlineLevel="0" collapsed="false">
      <c r="A11" s="9"/>
      <c r="B11" s="10" t="s">
        <v>207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customFormat="false" ht="15" hidden="false" customHeight="true" outlineLevel="0" collapsed="false">
      <c r="B12" s="5" t="s">
        <v>208</v>
      </c>
      <c r="C12" s="12" t="s">
        <v>78</v>
      </c>
      <c r="D12" s="21" t="n">
        <v>0</v>
      </c>
      <c r="E12" s="21" t="n">
        <f aca="false">D16</f>
        <v>15.6948</v>
      </c>
      <c r="F12" s="21" t="n">
        <f aca="false">E16</f>
        <v>31.3896</v>
      </c>
      <c r="G12" s="21" t="n">
        <f aca="false">F16</f>
        <v>31.3896</v>
      </c>
      <c r="H12" s="21" t="n">
        <f aca="false">G16</f>
        <v>31.3896</v>
      </c>
      <c r="I12" s="21" t="n">
        <f aca="false">H16</f>
        <v>27.9018666666667</v>
      </c>
      <c r="J12" s="21" t="n">
        <f aca="false">I16</f>
        <v>24.4141333333333</v>
      </c>
      <c r="K12" s="21" t="n">
        <f aca="false">J16</f>
        <v>20.9264</v>
      </c>
      <c r="L12" s="21" t="n">
        <f aca="false">K16</f>
        <v>17.4386666666667</v>
      </c>
      <c r="M12" s="21" t="n">
        <f aca="false">L16</f>
        <v>13.9509333333333</v>
      </c>
      <c r="N12" s="21" t="n">
        <f aca="false">M16</f>
        <v>10.4632</v>
      </c>
      <c r="O12" s="21" t="n">
        <f aca="false">N16</f>
        <v>6.97546666666667</v>
      </c>
      <c r="P12" s="21" t="n">
        <f aca="false">O16</f>
        <v>3.48773333333333</v>
      </c>
      <c r="Q12" s="21" t="n">
        <f aca="false">P16</f>
        <v>0</v>
      </c>
      <c r="R12" s="21" t="n">
        <f aca="false">Q16</f>
        <v>0</v>
      </c>
      <c r="S12" s="21" t="n">
        <f aca="false">R16</f>
        <v>0</v>
      </c>
      <c r="T12" s="21" t="n">
        <f aca="false">S16</f>
        <v>0</v>
      </c>
      <c r="U12" s="21" t="n">
        <f aca="false">T16</f>
        <v>0</v>
      </c>
      <c r="V12" s="21" t="n">
        <f aca="false">U16</f>
        <v>0</v>
      </c>
      <c r="W12" s="21" t="n">
        <f aca="false">V16</f>
        <v>0</v>
      </c>
    </row>
    <row r="13" customFormat="false" ht="15" hidden="false" customHeight="true" outlineLevel="0" collapsed="false">
      <c r="B13" s="5" t="s">
        <v>209</v>
      </c>
      <c r="C13" s="12" t="s">
        <v>78</v>
      </c>
      <c r="D13" s="28" t="n">
        <f aca="false">IF(1&lt;=(Assumptions!C31/12),'CAPEX Schedule'!C29*Assumptions!C46/(Assumptions!C31/12),0)</f>
        <v>15.6948</v>
      </c>
      <c r="E13" s="28" t="n">
        <f aca="false">IF(2&lt;=(Assumptions!C31/12),'CAPEX Schedule'!C29*Assumptions!C46/(Assumptions!C31/12),0)</f>
        <v>15.6948</v>
      </c>
      <c r="F13" s="21" t="n">
        <f aca="false">IF(3&lt;=(Assumptions!C31/12),'CAPEX Schedule'!C29*Assumptions!C46/(Assumptions!C31/12),0)</f>
        <v>0</v>
      </c>
      <c r="G13" s="21" t="n">
        <f aca="false">IF(4&lt;=(Assumptions!C31/12),'CAPEX Schedule'!C29*Assumptions!C46/(Assumptions!C31/12),0)</f>
        <v>0</v>
      </c>
      <c r="H13" s="21" t="n">
        <f aca="false">IF(5&lt;=(Assumptions!C31/12),'CAPEX Schedule'!C29*Assumptions!C46/(Assumptions!C31/12),0)</f>
        <v>0</v>
      </c>
      <c r="I13" s="21" t="n">
        <f aca="false">IF(6&lt;=(Assumptions!C31/12),'CAPEX Schedule'!C29*Assumptions!C46/(Assumptions!C31/12),0)</f>
        <v>0</v>
      </c>
      <c r="J13" s="21" t="n">
        <f aca="false">IF(7&lt;=(Assumptions!C31/12),'CAPEX Schedule'!C29*Assumptions!C46/(Assumptions!C31/12),0)</f>
        <v>0</v>
      </c>
      <c r="K13" s="21" t="n">
        <f aca="false">IF(8&lt;=(Assumptions!C31/12),'CAPEX Schedule'!C29*Assumptions!C46/(Assumptions!C31/12),0)</f>
        <v>0</v>
      </c>
      <c r="L13" s="21" t="n">
        <f aca="false">IF(9&lt;=(Assumptions!C31/12),'CAPEX Schedule'!C29*Assumptions!C46/(Assumptions!C31/12),0)</f>
        <v>0</v>
      </c>
      <c r="M13" s="21" t="n">
        <f aca="false">IF(10&lt;=(Assumptions!C31/12),'CAPEX Schedule'!C29*Assumptions!C46/(Assumptions!C31/12),0)</f>
        <v>0</v>
      </c>
      <c r="N13" s="21" t="n">
        <f aca="false">IF(11&lt;=(Assumptions!C31/12),'CAPEX Schedule'!C29*Assumptions!C46/(Assumptions!C31/12),0)</f>
        <v>0</v>
      </c>
      <c r="O13" s="21" t="n">
        <f aca="false">IF(12&lt;=(Assumptions!C31/12),'CAPEX Schedule'!C29*Assumptions!C46/(Assumptions!C31/12),0)</f>
        <v>0</v>
      </c>
      <c r="P13" s="21" t="n">
        <f aca="false">IF(13&lt;=(Assumptions!C31/12),'CAPEX Schedule'!C29*Assumptions!C46/(Assumptions!C31/12),0)</f>
        <v>0</v>
      </c>
      <c r="Q13" s="21" t="n">
        <f aca="false">IF(14&lt;=(Assumptions!C31/12),'CAPEX Schedule'!C29*Assumptions!C46/(Assumptions!C31/12),0)</f>
        <v>0</v>
      </c>
      <c r="R13" s="21" t="n">
        <f aca="false">IF(15&lt;=(Assumptions!C31/12),'CAPEX Schedule'!C29*Assumptions!C46/(Assumptions!C31/12),0)</f>
        <v>0</v>
      </c>
      <c r="S13" s="21" t="n">
        <f aca="false">IF(16&lt;=(Assumptions!C31/12),'CAPEX Schedule'!C29*Assumptions!C46/(Assumptions!C31/12),0)</f>
        <v>0</v>
      </c>
      <c r="T13" s="21" t="n">
        <f aca="false">IF(17&lt;=(Assumptions!C31/12),'CAPEX Schedule'!C29*Assumptions!C46/(Assumptions!C31/12),0)</f>
        <v>0</v>
      </c>
      <c r="U13" s="21" t="n">
        <f aca="false">IF(18&lt;=(Assumptions!C31/12),'CAPEX Schedule'!C29*Assumptions!C46/(Assumptions!C31/12),0)</f>
        <v>0</v>
      </c>
      <c r="V13" s="21" t="n">
        <f aca="false">IF(19&lt;=(Assumptions!C31/12),'CAPEX Schedule'!C29*Assumptions!C46/(Assumptions!C31/12),0)</f>
        <v>0</v>
      </c>
      <c r="W13" s="21" t="n">
        <f aca="false">IF(20&lt;=(Assumptions!C31/12),'CAPEX Schedule'!C29*Assumptions!C46/(Assumptions!C31/12),0)</f>
        <v>0</v>
      </c>
    </row>
    <row r="14" customFormat="false" ht="15" hidden="false" customHeight="true" outlineLevel="0" collapsed="false">
      <c r="B14" s="5" t="s">
        <v>210</v>
      </c>
      <c r="C14" s="12" t="s">
        <v>78</v>
      </c>
      <c r="D14" s="21" t="n">
        <f aca="false">IFERROR(IF(1&lt;=(Assumptions!C31/12)+Assumptions!C49,0,IF(Assumptions!C47-(1-(Assumptions!C31/12))&lt;=0,0,-(D12+D13)/MAX(1,Assumptions!C47-(1-(Assumptions!C31/12))))),0)</f>
        <v>0</v>
      </c>
      <c r="E14" s="21" t="n">
        <f aca="false">IFERROR(IF(2&lt;=(Assumptions!C31/12)+Assumptions!C49,0,IF(Assumptions!C47-(2-(Assumptions!C31/12))&lt;=0,0,-(E12+E13)/MAX(1,Assumptions!C47-(2-(Assumptions!C31/12))))),0)</f>
        <v>0</v>
      </c>
      <c r="F14" s="21" t="n">
        <f aca="false">IFERROR(IF(3&lt;=(Assumptions!C31/12)+Assumptions!C49,0,IF(Assumptions!C47-(3-(Assumptions!C31/12))&lt;=0,0,-(F12+F13)/MAX(1,Assumptions!C47-(3-(Assumptions!C31/12))))),0)</f>
        <v>0</v>
      </c>
      <c r="G14" s="21" t="n">
        <f aca="false">IFERROR(IF(4&lt;=(Assumptions!C31/12)+Assumptions!C49,0,IF(Assumptions!C47-(4-(Assumptions!C31/12))&lt;=0,0,-(G12+G13)/MAX(1,Assumptions!C47-(4-(Assumptions!C31/12))))),0)</f>
        <v>0</v>
      </c>
      <c r="H14" s="21" t="n">
        <f aca="false">IFERROR(IF(5&lt;=(Assumptions!C31/12)+Assumptions!C49,0,IF(Assumptions!C47-(5-(Assumptions!C31/12))&lt;=0,0,-(H12+H13)/MAX(1,Assumptions!C47-(5-(Assumptions!C31/12))))),0)</f>
        <v>-3.48773333333333</v>
      </c>
      <c r="I14" s="21" t="n">
        <f aca="false">IFERROR(IF(6&lt;=(Assumptions!C31/12)+Assumptions!C49,0,IF(Assumptions!C47-(6-(Assumptions!C31/12))&lt;=0,0,-(I12+I13)/MAX(1,Assumptions!C47-(6-(Assumptions!C31/12))))),0)</f>
        <v>-3.48773333333333</v>
      </c>
      <c r="J14" s="21" t="n">
        <f aca="false">IFERROR(IF(7&lt;=(Assumptions!C31/12)+Assumptions!C49,0,IF(Assumptions!C47-(7-(Assumptions!C31/12))&lt;=0,0,-(J12+J13)/MAX(1,Assumptions!C47-(7-(Assumptions!C31/12))))),0)</f>
        <v>-3.48773333333333</v>
      </c>
      <c r="K14" s="21" t="n">
        <f aca="false">IFERROR(IF(8&lt;=(Assumptions!C31/12)+Assumptions!C49,0,IF(Assumptions!C47-(8-(Assumptions!C31/12))&lt;=0,0,-(K12+K13)/MAX(1,Assumptions!C47-(8-(Assumptions!C31/12))))),0)</f>
        <v>-3.48773333333333</v>
      </c>
      <c r="L14" s="21" t="n">
        <f aca="false">IFERROR(IF(9&lt;=(Assumptions!C31/12)+Assumptions!C49,0,IF(Assumptions!C47-(9-(Assumptions!C31/12))&lt;=0,0,-(L12+L13)/MAX(1,Assumptions!C47-(9-(Assumptions!C31/12))))),0)</f>
        <v>-3.48773333333333</v>
      </c>
      <c r="M14" s="21" t="n">
        <f aca="false">IFERROR(IF(10&lt;=(Assumptions!C31/12)+Assumptions!C49,0,IF(Assumptions!C47-(10-(Assumptions!C31/12))&lt;=0,0,-(M12+M13)/MAX(1,Assumptions!C47-(10-(Assumptions!C31/12))))),0)</f>
        <v>-3.48773333333333</v>
      </c>
      <c r="N14" s="21" t="n">
        <f aca="false">IFERROR(IF(11&lt;=(Assumptions!C31/12)+Assumptions!C49,0,IF(Assumptions!C47-(11-(Assumptions!C31/12))&lt;=0,0,-(N12+N13)/MAX(1,Assumptions!C47-(11-(Assumptions!C31/12))))),0)</f>
        <v>-3.48773333333333</v>
      </c>
      <c r="O14" s="21" t="n">
        <f aca="false">IFERROR(IF(12&lt;=(Assumptions!C31/12)+Assumptions!C49,0,IF(Assumptions!C47-(12-(Assumptions!C31/12))&lt;=0,0,-(O12+O13)/MAX(1,Assumptions!C47-(12-(Assumptions!C31/12))))),0)</f>
        <v>-3.48773333333333</v>
      </c>
      <c r="P14" s="21" t="n">
        <f aca="false">IFERROR(IF(13&lt;=(Assumptions!C31/12)+Assumptions!C49,0,IF(Assumptions!C47-(13-(Assumptions!C31/12))&lt;=0,0,-(P12+P13)/MAX(1,Assumptions!C47-(13-(Assumptions!C31/12))))),0)</f>
        <v>-3.48773333333333</v>
      </c>
      <c r="Q14" s="21" t="n">
        <f aca="false">IFERROR(IF(14&lt;=(Assumptions!C31/12)+Assumptions!C49,0,IF(Assumptions!C47-(14-(Assumptions!C31/12))&lt;=0,0,-(Q12+Q13)/MAX(1,Assumptions!C47-(14-(Assumptions!C31/12))))),0)</f>
        <v>0</v>
      </c>
      <c r="R14" s="21" t="n">
        <f aca="false">IFERROR(IF(15&lt;=(Assumptions!C31/12)+Assumptions!C49,0,IF(Assumptions!C47-(15-(Assumptions!C31/12))&lt;=0,0,-(R12+R13)/MAX(1,Assumptions!C47-(15-(Assumptions!C31/12))))),0)</f>
        <v>0</v>
      </c>
      <c r="S14" s="21" t="n">
        <f aca="false">IFERROR(IF(16&lt;=(Assumptions!C31/12)+Assumptions!C49,0,IF(Assumptions!C47-(16-(Assumptions!C31/12))&lt;=0,0,-(S12+S13)/MAX(1,Assumptions!C47-(16-(Assumptions!C31/12))))),0)</f>
        <v>0</v>
      </c>
      <c r="T14" s="21" t="n">
        <f aca="false">IFERROR(IF(17&lt;=(Assumptions!C31/12)+Assumptions!C49,0,IF(Assumptions!C47-(17-(Assumptions!C31/12))&lt;=0,0,-(T12+T13)/MAX(1,Assumptions!C47-(17-(Assumptions!C31/12))))),0)</f>
        <v>0</v>
      </c>
      <c r="U14" s="21" t="n">
        <f aca="false">IFERROR(IF(18&lt;=(Assumptions!C31/12)+Assumptions!C49,0,IF(Assumptions!C47-(18-(Assumptions!C31/12))&lt;=0,0,-(U12+U13)/MAX(1,Assumptions!C47-(18-(Assumptions!C31/12))))),0)</f>
        <v>0</v>
      </c>
      <c r="V14" s="21" t="n">
        <f aca="false">IFERROR(IF(19&lt;=(Assumptions!C31/12)+Assumptions!C49,0,IF(Assumptions!C47-(19-(Assumptions!C31/12))&lt;=0,0,-(V12+V13)/MAX(1,Assumptions!C47-(19-(Assumptions!C31/12))))),0)</f>
        <v>0</v>
      </c>
      <c r="W14" s="21" t="n">
        <f aca="false">IFERROR(IF(20&lt;=(Assumptions!C31/12)+Assumptions!C49,0,IF(Assumptions!C47-(20-(Assumptions!C31/12))&lt;=0,0,-(W12+W13)/MAX(1,Assumptions!C47-(20-(Assumptions!C31/12))))),0)</f>
        <v>0</v>
      </c>
    </row>
    <row r="15" customFormat="false" ht="15" hidden="false" customHeight="true" outlineLevel="0" collapsed="false">
      <c r="B15" s="5" t="s">
        <v>211</v>
      </c>
      <c r="C15" s="12" t="s">
        <v>78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</row>
    <row r="16" customFormat="false" ht="15" hidden="false" customHeight="true" outlineLevel="0" collapsed="false">
      <c r="B16" s="5" t="s">
        <v>212</v>
      </c>
      <c r="C16" s="12" t="s">
        <v>78</v>
      </c>
      <c r="D16" s="21" t="n">
        <f aca="false">MAX(0,D12+D13+D14+D15)</f>
        <v>15.6948</v>
      </c>
      <c r="E16" s="21" t="n">
        <f aca="false">MAX(0,E12+E13+E14+E15)</f>
        <v>31.3896</v>
      </c>
      <c r="F16" s="21" t="n">
        <f aca="false">MAX(0,F12+F13+F14+F15)</f>
        <v>31.3896</v>
      </c>
      <c r="G16" s="21" t="n">
        <f aca="false">MAX(0,G12+G13+G14+G15)</f>
        <v>31.3896</v>
      </c>
      <c r="H16" s="21" t="n">
        <f aca="false">MAX(0,H12+H13+H14+H15)</f>
        <v>27.9018666666667</v>
      </c>
      <c r="I16" s="21" t="n">
        <f aca="false">MAX(0,I12+I13+I14+I15)</f>
        <v>24.4141333333333</v>
      </c>
      <c r="J16" s="21" t="n">
        <f aca="false">MAX(0,J12+J13+J14+J15)</f>
        <v>20.9264</v>
      </c>
      <c r="K16" s="21" t="n">
        <f aca="false">MAX(0,K12+K13+K14+K15)</f>
        <v>17.4386666666667</v>
      </c>
      <c r="L16" s="21" t="n">
        <f aca="false">MAX(0,L12+L13+L14+L15)</f>
        <v>13.9509333333333</v>
      </c>
      <c r="M16" s="21" t="n">
        <f aca="false">MAX(0,M12+M13+M14+M15)</f>
        <v>10.4632</v>
      </c>
      <c r="N16" s="21" t="n">
        <f aca="false">MAX(0,N12+N13+N14+N15)</f>
        <v>6.97546666666667</v>
      </c>
      <c r="O16" s="21" t="n">
        <f aca="false">MAX(0,O12+O13+O14+O15)</f>
        <v>3.48773333333333</v>
      </c>
      <c r="P16" s="21" t="n">
        <f aca="false">MAX(0,P12+P13+P14+P15)</f>
        <v>0</v>
      </c>
      <c r="Q16" s="21" t="n">
        <f aca="false">MAX(0,Q12+Q13+Q14+Q15)</f>
        <v>0</v>
      </c>
      <c r="R16" s="21" t="n">
        <f aca="false">MAX(0,R12+R13+R14+R15)</f>
        <v>0</v>
      </c>
      <c r="S16" s="21" t="n">
        <f aca="false">MAX(0,S12+S13+S14+S15)</f>
        <v>0</v>
      </c>
      <c r="T16" s="21" t="n">
        <f aca="false">MAX(0,T12+T13+T14+T15)</f>
        <v>0</v>
      </c>
      <c r="U16" s="21" t="n">
        <f aca="false">MAX(0,U12+U13+U14+U15)</f>
        <v>0</v>
      </c>
      <c r="V16" s="21" t="n">
        <f aca="false">MAX(0,V12+V13+V14+V15)</f>
        <v>0</v>
      </c>
      <c r="W16" s="21" t="n">
        <f aca="false">MAX(0,W12+W13+W14+W15)</f>
        <v>0</v>
      </c>
    </row>
    <row r="17" customFormat="false" ht="15" hidden="false" customHeight="true" outlineLevel="0" collapsed="false">
      <c r="B17" s="5" t="s">
        <v>213</v>
      </c>
      <c r="C17" s="12" t="s">
        <v>78</v>
      </c>
      <c r="D17" s="21" t="n">
        <f aca="false">-(D12+D16)/2*Assumptions!C48</f>
        <v>-0.667029</v>
      </c>
      <c r="E17" s="21" t="n">
        <f aca="false">-(E12+E16)/2*Assumptions!C48</f>
        <v>-2.001087</v>
      </c>
      <c r="F17" s="21" t="n">
        <f aca="false">-(F12+F16)/2*Assumptions!C48</f>
        <v>-2.668116</v>
      </c>
      <c r="G17" s="21" t="n">
        <f aca="false">-(G12+G16)/2*Assumptions!C48</f>
        <v>-2.668116</v>
      </c>
      <c r="H17" s="21" t="n">
        <f aca="false">-(H12+H16)/2*Assumptions!C48</f>
        <v>-2.51988733333333</v>
      </c>
      <c r="I17" s="21" t="n">
        <f aca="false">-(I12+I16)/2*Assumptions!C48</f>
        <v>-2.22343</v>
      </c>
      <c r="J17" s="21" t="n">
        <f aca="false">-(J12+J16)/2*Assumptions!C48</f>
        <v>-1.92697266666667</v>
      </c>
      <c r="K17" s="21" t="n">
        <f aca="false">-(K12+K16)/2*Assumptions!C48</f>
        <v>-1.63051533333333</v>
      </c>
      <c r="L17" s="21" t="n">
        <f aca="false">-(L12+L16)/2*Assumptions!C48</f>
        <v>-1.334058</v>
      </c>
      <c r="M17" s="21" t="n">
        <f aca="false">-(M12+M16)/2*Assumptions!C48</f>
        <v>-1.03760066666667</v>
      </c>
      <c r="N17" s="21" t="n">
        <f aca="false">-(N12+N16)/2*Assumptions!C48</f>
        <v>-0.741143333333334</v>
      </c>
      <c r="O17" s="21" t="n">
        <f aca="false">-(O12+O16)/2*Assumptions!C48</f>
        <v>-0.444686</v>
      </c>
      <c r="P17" s="21" t="n">
        <f aca="false">-(P12+P16)/2*Assumptions!C48</f>
        <v>-0.148228666666667</v>
      </c>
      <c r="Q17" s="21" t="n">
        <f aca="false">-(Q12+Q16)/2*Assumptions!C48</f>
        <v>-0</v>
      </c>
      <c r="R17" s="21" t="n">
        <f aca="false">-(R12+R16)/2*Assumptions!C48</f>
        <v>-0</v>
      </c>
      <c r="S17" s="21" t="n">
        <f aca="false">-(S12+S16)/2*Assumptions!C48</f>
        <v>-0</v>
      </c>
      <c r="T17" s="21" t="n">
        <f aca="false">-(T12+T16)/2*Assumptions!C48</f>
        <v>-0</v>
      </c>
      <c r="U17" s="21" t="n">
        <f aca="false">-(U12+U16)/2*Assumptions!C48</f>
        <v>-0</v>
      </c>
      <c r="V17" s="21" t="n">
        <f aca="false">-(V12+V16)/2*Assumptions!C48</f>
        <v>-0</v>
      </c>
      <c r="W17" s="21" t="n">
        <f aca="false">-(W12+W16)/2*Assumptions!C48</f>
        <v>-0</v>
      </c>
    </row>
    <row r="18" customFormat="false" ht="15" hidden="false" customHeight="true" outlineLevel="0" collapsed="false">
      <c r="B18" s="7" t="s">
        <v>214</v>
      </c>
      <c r="C18" s="12" t="s">
        <v>78</v>
      </c>
      <c r="D18" s="23" t="n">
        <f aca="false">D14+D15+D17</f>
        <v>-0.667029</v>
      </c>
      <c r="E18" s="23" t="n">
        <f aca="false">E14+E15+E17</f>
        <v>-2.001087</v>
      </c>
      <c r="F18" s="23" t="n">
        <f aca="false">F14+F15+F17</f>
        <v>-2.668116</v>
      </c>
      <c r="G18" s="23" t="n">
        <f aca="false">G14+G15+G17</f>
        <v>-2.668116</v>
      </c>
      <c r="H18" s="23" t="n">
        <f aca="false">H14+H15+H17</f>
        <v>-6.00762066666667</v>
      </c>
      <c r="I18" s="23" t="n">
        <f aca="false">I14+I15+I17</f>
        <v>-5.71116333333333</v>
      </c>
      <c r="J18" s="23" t="n">
        <f aca="false">J14+J15+J17</f>
        <v>-5.414706</v>
      </c>
      <c r="K18" s="23" t="n">
        <f aca="false">K14+K15+K17</f>
        <v>-5.11824866666667</v>
      </c>
      <c r="L18" s="23" t="n">
        <f aca="false">L14+L15+L17</f>
        <v>-4.82179133333333</v>
      </c>
      <c r="M18" s="23" t="n">
        <f aca="false">M14+M15+M17</f>
        <v>-4.525334</v>
      </c>
      <c r="N18" s="23" t="n">
        <f aca="false">N14+N15+N17</f>
        <v>-4.22887666666667</v>
      </c>
      <c r="O18" s="23" t="n">
        <f aca="false">O14+O15+O17</f>
        <v>-3.93241933333333</v>
      </c>
      <c r="P18" s="23" t="n">
        <f aca="false">P14+P15+P17</f>
        <v>-3.635962</v>
      </c>
      <c r="Q18" s="23" t="n">
        <f aca="false">Q14+Q15+Q17</f>
        <v>0</v>
      </c>
      <c r="R18" s="23" t="n">
        <f aca="false">R14+R15+R17</f>
        <v>0</v>
      </c>
      <c r="S18" s="23" t="n">
        <f aca="false">S14+S15+S17</f>
        <v>0</v>
      </c>
      <c r="T18" s="23" t="n">
        <f aca="false">T14+T15+T17</f>
        <v>0</v>
      </c>
      <c r="U18" s="23" t="n">
        <f aca="false">U14+U15+U17</f>
        <v>0</v>
      </c>
      <c r="V18" s="23" t="n">
        <f aca="false">V14+V15+V17</f>
        <v>0</v>
      </c>
      <c r="W18" s="23" t="n">
        <f aca="false">W14+W15+W17</f>
        <v>0</v>
      </c>
    </row>
    <row r="20" customFormat="false" ht="15" hidden="false" customHeight="true" outlineLevel="0" collapsed="false">
      <c r="A20" s="9"/>
      <c r="B20" s="10" t="s">
        <v>215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customFormat="false" ht="15" hidden="false" customHeight="true" outlineLevel="0" collapsed="false">
      <c r="B21" s="5" t="s">
        <v>208</v>
      </c>
      <c r="C21" s="12" t="s">
        <v>78</v>
      </c>
    </row>
    <row r="22" customFormat="false" ht="15" hidden="false" customHeight="true" outlineLevel="0" collapsed="false">
      <c r="B22" s="5" t="s">
        <v>209</v>
      </c>
      <c r="C22" s="12" t="s">
        <v>78</v>
      </c>
    </row>
    <row r="23" customFormat="false" ht="15" hidden="false" customHeight="true" outlineLevel="0" collapsed="false">
      <c r="B23" s="5" t="s">
        <v>210</v>
      </c>
      <c r="C23" s="12" t="s">
        <v>78</v>
      </c>
    </row>
    <row r="24" customFormat="false" ht="15" hidden="false" customHeight="true" outlineLevel="0" collapsed="false">
      <c r="B24" s="5" t="s">
        <v>212</v>
      </c>
      <c r="C24" s="12" t="s">
        <v>78</v>
      </c>
    </row>
    <row r="25" customFormat="false" ht="15" hidden="false" customHeight="true" outlineLevel="0" collapsed="false">
      <c r="B25" s="5" t="s">
        <v>216</v>
      </c>
      <c r="C25" s="12" t="s">
        <v>78</v>
      </c>
    </row>
    <row r="26" customFormat="false" ht="15" hidden="false" customHeight="true" outlineLevel="0" collapsed="false">
      <c r="B26" s="7" t="s">
        <v>217</v>
      </c>
      <c r="C26" s="12" t="s">
        <v>78</v>
      </c>
    </row>
    <row r="28" customFormat="false" ht="15" hidden="false" customHeight="true" outlineLevel="0" collapsed="false">
      <c r="A28" s="9"/>
      <c r="B28" s="10" t="s">
        <v>218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customFormat="false" ht="15" hidden="false" customHeight="true" outlineLevel="0" collapsed="false">
      <c r="B29" s="5" t="s">
        <v>208</v>
      </c>
      <c r="C29" s="12" t="s">
        <v>78</v>
      </c>
    </row>
    <row r="30" customFormat="false" ht="15" hidden="false" customHeight="true" outlineLevel="0" collapsed="false">
      <c r="B30" s="5" t="s">
        <v>209</v>
      </c>
      <c r="C30" s="12" t="s">
        <v>78</v>
      </c>
    </row>
    <row r="31" customFormat="false" ht="15" hidden="false" customHeight="true" outlineLevel="0" collapsed="false">
      <c r="B31" s="5" t="s">
        <v>210</v>
      </c>
      <c r="C31" s="12" t="s">
        <v>78</v>
      </c>
    </row>
    <row r="32" customFormat="false" ht="15" hidden="false" customHeight="true" outlineLevel="0" collapsed="false">
      <c r="B32" s="5" t="s">
        <v>212</v>
      </c>
      <c r="C32" s="12" t="s">
        <v>78</v>
      </c>
    </row>
    <row r="33" customFormat="false" ht="15" hidden="false" customHeight="true" outlineLevel="0" collapsed="false">
      <c r="B33" s="5" t="s">
        <v>213</v>
      </c>
      <c r="C33" s="12" t="s">
        <v>78</v>
      </c>
    </row>
    <row r="34" customFormat="false" ht="15" hidden="false" customHeight="true" outlineLevel="0" collapsed="false">
      <c r="B34" s="7" t="s">
        <v>219</v>
      </c>
      <c r="C34" s="12" t="s">
        <v>78</v>
      </c>
    </row>
    <row r="36" customFormat="false" ht="15" hidden="false" customHeight="true" outlineLevel="0" collapsed="false">
      <c r="A36" s="9"/>
      <c r="B36" s="10" t="s">
        <v>220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customFormat="false" ht="15" hidden="false" customHeight="true" outlineLevel="0" collapsed="false">
      <c r="B37" s="7" t="s">
        <v>221</v>
      </c>
      <c r="C37" s="12" t="s">
        <v>78</v>
      </c>
      <c r="D37" s="21" t="n">
        <f aca="false">D16+D24+D32</f>
        <v>15.6948</v>
      </c>
      <c r="E37" s="21" t="n">
        <f aca="false">E16+E24+E32</f>
        <v>31.3896</v>
      </c>
      <c r="F37" s="21" t="n">
        <f aca="false">F16+F24+F32</f>
        <v>31.3896</v>
      </c>
      <c r="G37" s="21" t="n">
        <f aca="false">G16+G24+G32</f>
        <v>31.3896</v>
      </c>
      <c r="H37" s="21" t="n">
        <f aca="false">H16+H24+H32</f>
        <v>27.9018666666667</v>
      </c>
      <c r="I37" s="21" t="n">
        <f aca="false">I16+I24+I32</f>
        <v>24.4141333333333</v>
      </c>
      <c r="J37" s="21" t="n">
        <f aca="false">J16+J24+J32</f>
        <v>20.9264</v>
      </c>
      <c r="K37" s="21" t="n">
        <f aca="false">K16+K24+K32</f>
        <v>17.4386666666667</v>
      </c>
      <c r="L37" s="21" t="n">
        <f aca="false">L16+L24+L32</f>
        <v>13.9509333333333</v>
      </c>
      <c r="M37" s="21" t="n">
        <f aca="false">M16+M24+M32</f>
        <v>10.4632</v>
      </c>
      <c r="N37" s="21" t="n">
        <f aca="false">N16+N24+N32</f>
        <v>6.97546666666667</v>
      </c>
      <c r="O37" s="21" t="n">
        <f aca="false">O16+O24+O32</f>
        <v>3.48773333333333</v>
      </c>
      <c r="P37" s="21" t="n">
        <f aca="false">P16+P24+P32</f>
        <v>0</v>
      </c>
      <c r="Q37" s="21" t="n">
        <f aca="false">Q16+Q24+Q32</f>
        <v>0</v>
      </c>
      <c r="R37" s="21" t="n">
        <f aca="false">R16+R24+R32</f>
        <v>0</v>
      </c>
      <c r="S37" s="21" t="n">
        <f aca="false">S16+S24+S32</f>
        <v>0</v>
      </c>
      <c r="T37" s="21" t="n">
        <f aca="false">T16+T24+T32</f>
        <v>0</v>
      </c>
      <c r="U37" s="21" t="n">
        <f aca="false">U16+U24+U32</f>
        <v>0</v>
      </c>
      <c r="V37" s="21" t="n">
        <f aca="false">V16+V24+V32</f>
        <v>0</v>
      </c>
      <c r="W37" s="21" t="n">
        <f aca="false">W16+W24+W32</f>
        <v>0</v>
      </c>
    </row>
    <row r="38" customFormat="false" ht="15" hidden="false" customHeight="true" outlineLevel="0" collapsed="false">
      <c r="B38" s="7" t="s">
        <v>222</v>
      </c>
      <c r="C38" s="12" t="s">
        <v>78</v>
      </c>
      <c r="D38" s="21" t="n">
        <f aca="false">D17+D25+D33</f>
        <v>-0.667029</v>
      </c>
      <c r="E38" s="21" t="n">
        <f aca="false">E17+E25+E33</f>
        <v>-2.001087</v>
      </c>
      <c r="F38" s="21" t="n">
        <f aca="false">F17+F25+F33</f>
        <v>-2.668116</v>
      </c>
      <c r="G38" s="21" t="n">
        <f aca="false">G17+G25+G33</f>
        <v>-2.668116</v>
      </c>
      <c r="H38" s="21" t="n">
        <f aca="false">H17+H25+H33</f>
        <v>-2.51988733333333</v>
      </c>
      <c r="I38" s="21" t="n">
        <f aca="false">I17+I25+I33</f>
        <v>-2.22343</v>
      </c>
      <c r="J38" s="21" t="n">
        <f aca="false">J17+J25+J33</f>
        <v>-1.92697266666667</v>
      </c>
      <c r="K38" s="21" t="n">
        <f aca="false">K17+K25+K33</f>
        <v>-1.63051533333333</v>
      </c>
      <c r="L38" s="21" t="n">
        <f aca="false">L17+L25+L33</f>
        <v>-1.334058</v>
      </c>
      <c r="M38" s="21" t="n">
        <f aca="false">M17+M25+M33</f>
        <v>-1.03760066666667</v>
      </c>
      <c r="N38" s="21" t="n">
        <f aca="false">N17+N25+N33</f>
        <v>-0.741143333333334</v>
      </c>
      <c r="O38" s="21" t="n">
        <f aca="false">O17+O25+O33</f>
        <v>-0.444686</v>
      </c>
      <c r="P38" s="21" t="n">
        <f aca="false">P17+P25+P33</f>
        <v>-0.148228666666667</v>
      </c>
      <c r="Q38" s="21" t="n">
        <f aca="false">Q17+Q25+Q33</f>
        <v>0</v>
      </c>
      <c r="R38" s="21" t="n">
        <f aca="false">R17+R25+R33</f>
        <v>0</v>
      </c>
      <c r="S38" s="21" t="n">
        <f aca="false">S17+S25+S33</f>
        <v>0</v>
      </c>
      <c r="T38" s="21" t="n">
        <f aca="false">T17+T25+T33</f>
        <v>0</v>
      </c>
      <c r="U38" s="21" t="n">
        <f aca="false">U17+U25+U33</f>
        <v>0</v>
      </c>
      <c r="V38" s="21" t="n">
        <f aca="false">V17+V25+V33</f>
        <v>0</v>
      </c>
      <c r="W38" s="21" t="n">
        <f aca="false">W17+W25+W33</f>
        <v>0</v>
      </c>
    </row>
    <row r="39" customFormat="false" ht="15" hidden="false" customHeight="true" outlineLevel="0" collapsed="false">
      <c r="B39" s="7" t="s">
        <v>223</v>
      </c>
      <c r="C39" s="12" t="s">
        <v>78</v>
      </c>
      <c r="D39" s="21" t="n">
        <f aca="false">D14+D23+D31</f>
        <v>0</v>
      </c>
      <c r="E39" s="21" t="n">
        <f aca="false">E14+E23+E31</f>
        <v>0</v>
      </c>
      <c r="F39" s="21" t="n">
        <f aca="false">F14+F23+F31</f>
        <v>0</v>
      </c>
      <c r="G39" s="21" t="n">
        <f aca="false">G14+G23+G31</f>
        <v>0</v>
      </c>
      <c r="H39" s="21" t="n">
        <f aca="false">H14+H23+H31</f>
        <v>-3.48773333333333</v>
      </c>
      <c r="I39" s="21" t="n">
        <f aca="false">I14+I23+I31</f>
        <v>-3.48773333333333</v>
      </c>
      <c r="J39" s="21" t="n">
        <f aca="false">J14+J23+J31</f>
        <v>-3.48773333333333</v>
      </c>
      <c r="K39" s="21" t="n">
        <f aca="false">K14+K23+K31</f>
        <v>-3.48773333333333</v>
      </c>
      <c r="L39" s="21" t="n">
        <f aca="false">L14+L23+L31</f>
        <v>-3.48773333333333</v>
      </c>
      <c r="M39" s="21" t="n">
        <f aca="false">M14+M23+M31</f>
        <v>-3.48773333333333</v>
      </c>
      <c r="N39" s="21" t="n">
        <f aca="false">N14+N23+N31</f>
        <v>-3.48773333333333</v>
      </c>
      <c r="O39" s="21" t="n">
        <f aca="false">O14+O23+O31</f>
        <v>-3.48773333333333</v>
      </c>
      <c r="P39" s="21" t="n">
        <f aca="false">P14+P23+P31</f>
        <v>-3.48773333333333</v>
      </c>
      <c r="Q39" s="21" t="n">
        <f aca="false">Q14+Q23+Q31</f>
        <v>0</v>
      </c>
      <c r="R39" s="21" t="n">
        <f aca="false">R14+R23+R31</f>
        <v>0</v>
      </c>
      <c r="S39" s="21" t="n">
        <f aca="false">S14+S23+S31</f>
        <v>0</v>
      </c>
      <c r="T39" s="21" t="n">
        <f aca="false">T14+T23+T31</f>
        <v>0</v>
      </c>
      <c r="U39" s="21" t="n">
        <f aca="false">U14+U23+U31</f>
        <v>0</v>
      </c>
      <c r="V39" s="21" t="n">
        <f aca="false">V14+V23+V31</f>
        <v>0</v>
      </c>
      <c r="W39" s="21" t="n">
        <f aca="false">W14+W23+W31</f>
        <v>0</v>
      </c>
    </row>
    <row r="40" customFormat="false" ht="15" hidden="false" customHeight="true" outlineLevel="0" collapsed="false">
      <c r="B40" s="7" t="s">
        <v>224</v>
      </c>
      <c r="C40" s="12" t="s">
        <v>78</v>
      </c>
      <c r="D40" s="23" t="n">
        <f aca="false">D38+D39</f>
        <v>-0.667029</v>
      </c>
      <c r="E40" s="23" t="n">
        <f aca="false">E38+E39</f>
        <v>-2.001087</v>
      </c>
      <c r="F40" s="23" t="n">
        <f aca="false">F38+F39</f>
        <v>-2.668116</v>
      </c>
      <c r="G40" s="23" t="n">
        <f aca="false">G38+G39</f>
        <v>-2.668116</v>
      </c>
      <c r="H40" s="23" t="n">
        <f aca="false">H38+H39</f>
        <v>-6.00762066666667</v>
      </c>
      <c r="I40" s="23" t="n">
        <f aca="false">I38+I39</f>
        <v>-5.71116333333333</v>
      </c>
      <c r="J40" s="23" t="n">
        <f aca="false">J38+J39</f>
        <v>-5.414706</v>
      </c>
      <c r="K40" s="23" t="n">
        <f aca="false">K38+K39</f>
        <v>-5.11824866666667</v>
      </c>
      <c r="L40" s="23" t="n">
        <f aca="false">L38+L39</f>
        <v>-4.82179133333333</v>
      </c>
      <c r="M40" s="23" t="n">
        <f aca="false">M38+M39</f>
        <v>-4.525334</v>
      </c>
      <c r="N40" s="23" t="n">
        <f aca="false">N38+N39</f>
        <v>-4.22887666666667</v>
      </c>
      <c r="O40" s="23" t="n">
        <f aca="false">O38+O39</f>
        <v>-3.93241933333333</v>
      </c>
      <c r="P40" s="23" t="n">
        <f aca="false">P38+P39</f>
        <v>-3.635962</v>
      </c>
      <c r="Q40" s="23" t="n">
        <f aca="false">Q38+Q39</f>
        <v>0</v>
      </c>
      <c r="R40" s="23" t="n">
        <f aca="false">R38+R39</f>
        <v>0</v>
      </c>
      <c r="S40" s="23" t="n">
        <f aca="false">S38+S39</f>
        <v>0</v>
      </c>
      <c r="T40" s="23" t="n">
        <f aca="false">T38+T39</f>
        <v>0</v>
      </c>
      <c r="U40" s="23" t="n">
        <f aca="false">U38+U39</f>
        <v>0</v>
      </c>
      <c r="V40" s="23" t="n">
        <f aca="false">V38+V39</f>
        <v>0</v>
      </c>
      <c r="W40" s="23" t="n">
        <f aca="false">W38+W39</f>
        <v>0</v>
      </c>
    </row>
    <row r="41" customFormat="false" ht="15" hidden="false" customHeight="true" outlineLevel="0" collapsed="false">
      <c r="B41" s="7" t="s">
        <v>225</v>
      </c>
      <c r="C41" s="12" t="s">
        <v>108</v>
      </c>
      <c r="D41" s="29" t="n">
        <f aca="false">IFERROR(IF(ABS(D40)&lt;0.001,"-",'Cash Flow Waterfall'!D14/ABS(D40)),"-")</f>
        <v>-1.28342245989305</v>
      </c>
      <c r="E41" s="29" t="n">
        <f aca="false">IFERROR(IF(ABS(E40)&lt;0.001,"-",'Cash Flow Waterfall'!E14/ABS(E40)),"-")</f>
        <v>-0.427807486631016</v>
      </c>
      <c r="F41" s="29" t="n">
        <f aca="false">IFERROR(IF(ABS(F40)&lt;0.001,"-",'Cash Flow Waterfall'!F14/ABS(F40)),"-")</f>
        <v>-1.09828820753654</v>
      </c>
      <c r="G41" s="29" t="n">
        <f aca="false">IFERROR(IF(ABS(G40)&lt;0.001,"-",'Cash Flow Waterfall'!G14/ABS(G40)),"-")</f>
        <v>0.967164066804161</v>
      </c>
      <c r="H41" s="29" t="n">
        <f aca="false">IFERROR(IF(ABS(H40)&lt;0.001,"-",'Cash Flow Waterfall'!H14/ABS(H40)),"-")</f>
        <v>1.01306931962234</v>
      </c>
      <c r="I41" s="29" t="n">
        <f aca="false">IFERROR(IF(ABS(I40)&lt;0.001,"-",'Cash Flow Waterfall'!I14/ABS(I40)),"-")</f>
        <v>1.15684570027142</v>
      </c>
      <c r="J41" s="29" t="n">
        <f aca="false">IFERROR(IF(ABS(J40)&lt;0.001,"-",'Cash Flow Waterfall'!J14/ABS(J40)),"-")</f>
        <v>1.1763571574197</v>
      </c>
      <c r="K41" s="29" t="n">
        <f aca="false">IFERROR(IF(ABS(K40)&lt;0.001,"-",'Cash Flow Waterfall'!K14/ABS(K40)),"-")</f>
        <v>0.938479849557675</v>
      </c>
      <c r="L41" s="29" t="n">
        <f aca="false">IFERROR(IF(ABS(L40)&lt;0.001,"-",'Cash Flow Waterfall'!L14/ABS(L40)),"-")</f>
        <v>0.960413181861073</v>
      </c>
      <c r="M41" s="29" t="n">
        <f aca="false">IFERROR(IF(ABS(M40)&lt;0.001,"-",'Cash Flow Waterfall'!M14/ABS(M40)),"-")</f>
        <v>0.984332532313277</v>
      </c>
      <c r="N41" s="29" t="n">
        <f aca="false">IFERROR(IF(ABS(N40)&lt;0.001,"-",'Cash Flow Waterfall'!N14/ABS(N40)),"-")</f>
        <v>1.01051477446648</v>
      </c>
      <c r="O41" s="29" t="n">
        <f aca="false">IFERROR(IF(ABS(O40)&lt;0.001,"-",'Cash Flow Waterfall'!O14/ABS(O40)),"-")</f>
        <v>1.03931346935588</v>
      </c>
      <c r="P41" s="29" t="n">
        <f aca="false">IFERROR(IF(ABS(P40)&lt;0.001,"-",'Cash Flow Waterfall'!P14/ABS(P40)),"-")</f>
        <v>1.07118963563935</v>
      </c>
      <c r="Q41" s="29" t="str">
        <f aca="false">IFERROR(IF(ABS(Q40)&lt;0.001,"-",'Cash Flow Waterfall'!Q14/ABS(Q40)),"-")</f>
        <v>-</v>
      </c>
      <c r="R41" s="29" t="str">
        <f aca="false">IFERROR(IF(ABS(R40)&lt;0.001,"-",'Cash Flow Waterfall'!R14/ABS(R40)),"-")</f>
        <v>-</v>
      </c>
      <c r="S41" s="29" t="str">
        <f aca="false">IFERROR(IF(ABS(S40)&lt;0.001,"-",'Cash Flow Waterfall'!S14/ABS(S40)),"-")</f>
        <v>-</v>
      </c>
      <c r="T41" s="29" t="str">
        <f aca="false">IFERROR(IF(ABS(T40)&lt;0.001,"-",'Cash Flow Waterfall'!T14/ABS(T40)),"-")</f>
        <v>-</v>
      </c>
      <c r="U41" s="29" t="str">
        <f aca="false">IFERROR(IF(ABS(U40)&lt;0.001,"-",'Cash Flow Waterfall'!U14/ABS(U40)),"-")</f>
        <v>-</v>
      </c>
      <c r="V41" s="29" t="str">
        <f aca="false">IFERROR(IF(ABS(V40)&lt;0.001,"-",'Cash Flow Waterfall'!V14/ABS(V40)),"-")</f>
        <v>-</v>
      </c>
      <c r="W41" s="29" t="str">
        <f aca="false">IFERROR(IF(ABS(W40)&lt;0.001,"-",'Cash Flow Waterfall'!W14/ABS(W40)),"-")</f>
        <v>-</v>
      </c>
    </row>
    <row r="42" customFormat="false" ht="15" hidden="false" customHeight="true" outlineLevel="0" collapsed="false">
      <c r="B42" s="7" t="s">
        <v>226</v>
      </c>
      <c r="C42" s="12" t="s">
        <v>108</v>
      </c>
    </row>
    <row r="43" customFormat="false" ht="15" hidden="false" customHeight="true" outlineLevel="0" collapsed="false">
      <c r="B43" s="7" t="s">
        <v>227</v>
      </c>
      <c r="C43" s="12" t="s">
        <v>108</v>
      </c>
    </row>
  </sheetData>
  <mergeCells count="1">
    <mergeCell ref="B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W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23" min="4" style="1" width="14"/>
  </cols>
  <sheetData>
    <row r="1" customFormat="false" ht="17.25" hidden="false" customHeight="true" outlineLevel="0" collapsed="false">
      <c r="B1" s="8" t="s">
        <v>228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3" customFormat="false" ht="15" hidden="false" customHeight="true" outlineLevel="0" collapsed="false">
      <c r="B3" s="7" t="s">
        <v>229</v>
      </c>
      <c r="C3" s="7" t="s">
        <v>59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</row>
    <row r="4" customFormat="false" ht="15" hidden="false" customHeight="true" outlineLevel="0" collapsed="false">
      <c r="A4" s="9"/>
      <c r="B4" s="10" t="s">
        <v>230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customFormat="false" ht="15" hidden="false" customHeight="true" outlineLevel="0" collapsed="false">
      <c r="B5" s="5" t="s">
        <v>231</v>
      </c>
      <c r="C5" s="12" t="s">
        <v>78</v>
      </c>
      <c r="D5" s="28" t="n">
        <f aca="false">'Revenue Build'!D21</f>
        <v>0</v>
      </c>
      <c r="E5" s="28" t="n">
        <f aca="false">'Revenue Build'!E21</f>
        <v>0</v>
      </c>
      <c r="F5" s="28" t="n">
        <f aca="false">'Revenue Build'!F21</f>
        <v>6.97382403628118</v>
      </c>
      <c r="G5" s="28" t="n">
        <f aca="false">'Revenue Build'!G21</f>
        <v>13.9635108623259</v>
      </c>
      <c r="H5" s="28" t="n">
        <f aca="false">'Revenue Build'!H21</f>
        <v>17.8336899066645</v>
      </c>
      <c r="I5" s="28" t="n">
        <f aca="false">'Revenue Build'!I21</f>
        <v>17.8738179055728</v>
      </c>
      <c r="J5" s="28" t="n">
        <f aca="false">'Revenue Build'!J21</f>
        <v>17.9237926301515</v>
      </c>
      <c r="K5" s="28" t="n">
        <f aca="false">'Revenue Build'!K21</f>
        <v>17.9835526101798</v>
      </c>
      <c r="L5" s="28" t="n">
        <f aca="false">'Revenue Build'!L21</f>
        <v>18.0530425290251</v>
      </c>
      <c r="M5" s="28" t="n">
        <f aca="false">'Revenue Build'!M21</f>
        <v>18.1322131357719</v>
      </c>
      <c r="N5" s="28" t="n">
        <f aca="false">'Revenue Build'!N21</f>
        <v>18.2210211616202</v>
      </c>
      <c r="O5" s="28" t="n">
        <f aca="false">'Revenue Build'!O21</f>
        <v>18.3194292404674</v>
      </c>
      <c r="P5" s="28" t="n">
        <f aca="false">'Revenue Build'!P21</f>
        <v>18.4274058335883</v>
      </c>
      <c r="Q5" s="28" t="n">
        <f aca="false">'Revenue Build'!Q21</f>
        <v>18.5449251583342</v>
      </c>
      <c r="R5" s="28" t="n">
        <f aca="false">'Revenue Build'!R21</f>
        <v>18.6719671207728</v>
      </c>
      <c r="S5" s="28" t="n">
        <f aca="false">'Revenue Build'!S21</f>
        <v>18.8085172521953</v>
      </c>
      <c r="T5" s="28" t="n">
        <f aca="false">'Revenue Build'!T21</f>
        <v>18.9545666494175</v>
      </c>
      <c r="U5" s="28" t="n">
        <f aca="false">'Revenue Build'!U21</f>
        <v>19.1101119188076</v>
      </c>
      <c r="V5" s="28" t="n">
        <f aca="false">'Revenue Build'!V21</f>
        <v>19.2751551239741</v>
      </c>
      <c r="W5" s="28" t="n">
        <f aca="false">'Revenue Build'!W21</f>
        <v>19.4497037370498</v>
      </c>
    </row>
    <row r="6" customFormat="false" ht="15" hidden="false" customHeight="true" outlineLevel="0" collapsed="false">
      <c r="B6" s="5" t="s">
        <v>232</v>
      </c>
      <c r="C6" s="12" t="s">
        <v>78</v>
      </c>
      <c r="D6" s="28" t="n">
        <f aca="false">-'OPEX Schedule'!D28</f>
        <v>-0.85608</v>
      </c>
      <c r="E6" s="28" t="n">
        <f aca="false">-'OPEX Schedule'!E28</f>
        <v>-0.85608</v>
      </c>
      <c r="F6" s="28" t="n">
        <f aca="false">-'OPEX Schedule'!F28</f>
        <v>-8.76274437542074</v>
      </c>
      <c r="G6" s="28" t="n">
        <f aca="false">-'OPEX Schedule'!G28</f>
        <v>-10.2415649410606</v>
      </c>
      <c r="H6" s="28" t="n">
        <f aca="false">-'OPEX Schedule'!H28</f>
        <v>-10.6061137253354</v>
      </c>
      <c r="I6" s="28" t="n">
        <f aca="false">-'OPEX Schedule'!I28</f>
        <v>-10.1254431598583</v>
      </c>
      <c r="J6" s="28" t="n">
        <f aca="false">-'OPEX Schedule'!J28</f>
        <v>-10.4127244717281</v>
      </c>
      <c r="K6" s="28" t="n">
        <f aca="false">-'OPEX Schedule'!K28</f>
        <v>-10.7139336977625</v>
      </c>
      <c r="L6" s="28" t="n">
        <f aca="false">-'OPEX Schedule'!L28</f>
        <v>-11.0297968765725</v>
      </c>
      <c r="M6" s="28" t="n">
        <f aca="false">-'OPEX Schedule'!M28</f>
        <v>-11.3610795989385</v>
      </c>
      <c r="N6" s="28" t="n">
        <f aca="false">-'OPEX Schedule'!N28</f>
        <v>-11.7085892315299</v>
      </c>
      <c r="O6" s="28" t="n">
        <f aca="false">-'OPEX Schedule'!O28</f>
        <v>-12.0731772686263</v>
      </c>
      <c r="P6" s="28" t="n">
        <f aca="false">-'OPEX Schedule'!P28</f>
        <v>-12.4557418193333</v>
      </c>
      <c r="Q6" s="28" t="n">
        <f aca="false">-'OPEX Schedule'!Q28</f>
        <v>-12.8572302382334</v>
      </c>
      <c r="R6" s="28" t="n">
        <f aca="false">-'OPEX Schedule'!R28</f>
        <v>-13.2786419078811</v>
      </c>
      <c r="S6" s="28" t="n">
        <f aca="false">-'OPEX Schedule'!S28</f>
        <v>-13.7210311820506</v>
      </c>
      <c r="T6" s="28" t="n">
        <f aca="false">-'OPEX Schedule'!T28</f>
        <v>-14.1855104991738</v>
      </c>
      <c r="U6" s="28" t="n">
        <f aca="false">-'OPEX Schedule'!U28</f>
        <v>-14.6732536759654</v>
      </c>
      <c r="V6" s="28" t="n">
        <f aca="false">-'OPEX Schedule'!V28</f>
        <v>-15.1854993918282</v>
      </c>
      <c r="W6" s="28" t="n">
        <f aca="false">-'OPEX Schedule'!W28</f>
        <v>-15.723554875257</v>
      </c>
    </row>
    <row r="7" customFormat="false" ht="15" hidden="false" customHeight="true" outlineLevel="0" collapsed="false">
      <c r="B7" s="5" t="s">
        <v>233</v>
      </c>
      <c r="C7" s="12" t="s">
        <v>78</v>
      </c>
      <c r="D7" s="23" t="n">
        <f aca="false">D5+D6</f>
        <v>-0.85608</v>
      </c>
      <c r="E7" s="23" t="n">
        <f aca="false">E5+E6</f>
        <v>-0.85608</v>
      </c>
      <c r="F7" s="23" t="n">
        <f aca="false">F5+F6</f>
        <v>-1.78892033913957</v>
      </c>
      <c r="G7" s="23" t="n">
        <f aca="false">G5+G6</f>
        <v>3.72194592126525</v>
      </c>
      <c r="H7" s="23" t="n">
        <f aca="false">H5+H6</f>
        <v>7.22757618132909</v>
      </c>
      <c r="I7" s="23" t="n">
        <f aca="false">I5+I6</f>
        <v>7.74837474571447</v>
      </c>
      <c r="J7" s="23" t="n">
        <f aca="false">J5+J6</f>
        <v>7.51106815842338</v>
      </c>
      <c r="K7" s="23" t="n">
        <f aca="false">K5+K6</f>
        <v>7.26961891241729</v>
      </c>
      <c r="L7" s="23" t="n">
        <f aca="false">L5+L6</f>
        <v>7.02324565245259</v>
      </c>
      <c r="M7" s="23" t="n">
        <f aca="false">M5+M6</f>
        <v>6.77113353683339</v>
      </c>
      <c r="N7" s="23" t="n">
        <f aca="false">N5+N6</f>
        <v>6.5124319300903</v>
      </c>
      <c r="O7" s="23" t="n">
        <f aca="false">O5+O6</f>
        <v>6.24625197184113</v>
      </c>
      <c r="P7" s="23" t="n">
        <f aca="false">P5+P6</f>
        <v>5.97166401425503</v>
      </c>
      <c r="Q7" s="23" t="n">
        <f aca="false">Q5+Q6</f>
        <v>5.68769492010077</v>
      </c>
      <c r="R7" s="23" t="n">
        <f aca="false">R5+R6</f>
        <v>5.39332521289171</v>
      </c>
      <c r="S7" s="23" t="n">
        <f aca="false">S5+S6</f>
        <v>5.08748607014469</v>
      </c>
      <c r="T7" s="23" t="n">
        <f aca="false">T5+T6</f>
        <v>4.76905615024374</v>
      </c>
      <c r="U7" s="23" t="n">
        <f aca="false">U5+U6</f>
        <v>4.43685824284218</v>
      </c>
      <c r="V7" s="23" t="n">
        <f aca="false">V5+V6</f>
        <v>4.08965573214584</v>
      </c>
      <c r="W7" s="23" t="n">
        <f aca="false">W5+W6</f>
        <v>3.72614886179276</v>
      </c>
    </row>
    <row r="8" customFormat="false" ht="15" hidden="false" customHeight="true" outlineLevel="0" collapsed="false">
      <c r="B8" s="5" t="s">
        <v>234</v>
      </c>
      <c r="C8" s="12" t="s">
        <v>78</v>
      </c>
      <c r="D8" s="28" t="n">
        <f aca="false">IF(1&lt;=Assumptions!C31/12,0,-'CAPEX Schedule'!C29/Assumptions!C32)</f>
        <v>0</v>
      </c>
      <c r="E8" s="28" t="n">
        <f aca="false">IF(2&lt;=Assumptions!C31/12,0,-'CAPEX Schedule'!C29/Assumptions!C32)</f>
        <v>0</v>
      </c>
      <c r="F8" s="28" t="n">
        <f aca="false">IF(3&lt;=Assumptions!C31/12,0,-'CAPEX Schedule'!C29/Assumptions!C32)</f>
        <v>-2.8536</v>
      </c>
      <c r="G8" s="28" t="n">
        <f aca="false">IF(4&lt;=Assumptions!C31/12,0,-'CAPEX Schedule'!C29/Assumptions!C32)</f>
        <v>-2.8536</v>
      </c>
      <c r="H8" s="28" t="n">
        <f aca="false">IF(5&lt;=Assumptions!C31/12,0,-'CAPEX Schedule'!C29/Assumptions!C32)</f>
        <v>-2.8536</v>
      </c>
      <c r="I8" s="28" t="n">
        <f aca="false">IF(6&lt;=Assumptions!C31/12,0,-'CAPEX Schedule'!C29/Assumptions!C32)</f>
        <v>-2.8536</v>
      </c>
      <c r="J8" s="28" t="n">
        <f aca="false">IF(7&lt;=Assumptions!C31/12,0,-'CAPEX Schedule'!C29/Assumptions!C32)</f>
        <v>-2.8536</v>
      </c>
      <c r="K8" s="28" t="n">
        <f aca="false">IF(8&lt;=Assumptions!C31/12,0,-'CAPEX Schedule'!C29/Assumptions!C32)</f>
        <v>-2.8536</v>
      </c>
      <c r="L8" s="28" t="n">
        <f aca="false">IF(9&lt;=Assumptions!C31/12,0,-'CAPEX Schedule'!C29/Assumptions!C32)</f>
        <v>-2.8536</v>
      </c>
      <c r="M8" s="28" t="n">
        <f aca="false">IF(10&lt;=Assumptions!C31/12,0,-'CAPEX Schedule'!C29/Assumptions!C32)</f>
        <v>-2.8536</v>
      </c>
      <c r="N8" s="28" t="n">
        <f aca="false">IF(11&lt;=Assumptions!C31/12,0,-'CAPEX Schedule'!C29/Assumptions!C32)</f>
        <v>-2.8536</v>
      </c>
      <c r="O8" s="28" t="n">
        <f aca="false">IF(12&lt;=Assumptions!C31/12,0,-'CAPEX Schedule'!C29/Assumptions!C32)</f>
        <v>-2.8536</v>
      </c>
      <c r="P8" s="28" t="n">
        <f aca="false">IF(13&lt;=Assumptions!C31/12,0,-'CAPEX Schedule'!C29/Assumptions!C32)</f>
        <v>-2.8536</v>
      </c>
      <c r="Q8" s="28" t="n">
        <f aca="false">IF(14&lt;=Assumptions!C31/12,0,-'CAPEX Schedule'!C29/Assumptions!C32)</f>
        <v>-2.8536</v>
      </c>
      <c r="R8" s="28" t="n">
        <f aca="false">IF(15&lt;=Assumptions!C31/12,0,-'CAPEX Schedule'!C29/Assumptions!C32)</f>
        <v>-2.8536</v>
      </c>
      <c r="S8" s="28" t="n">
        <f aca="false">IF(16&lt;=Assumptions!C31/12,0,-'CAPEX Schedule'!C29/Assumptions!C32)</f>
        <v>-2.8536</v>
      </c>
      <c r="T8" s="28" t="n">
        <f aca="false">IF(17&lt;=Assumptions!C31/12,0,-'CAPEX Schedule'!C29/Assumptions!C32)</f>
        <v>-2.8536</v>
      </c>
      <c r="U8" s="28" t="n">
        <f aca="false">IF(18&lt;=Assumptions!C31/12,0,-'CAPEX Schedule'!C29/Assumptions!C32)</f>
        <v>-2.8536</v>
      </c>
      <c r="V8" s="28" t="n">
        <f aca="false">IF(19&lt;=Assumptions!C31/12,0,-'CAPEX Schedule'!C29/Assumptions!C32)</f>
        <v>-2.8536</v>
      </c>
      <c r="W8" s="28" t="n">
        <f aca="false">IF(20&lt;=Assumptions!C31/12,0,-'CAPEX Schedule'!C29/Assumptions!C32)</f>
        <v>-2.8536</v>
      </c>
    </row>
    <row r="9" customFormat="false" ht="15" hidden="false" customHeight="true" outlineLevel="0" collapsed="false">
      <c r="B9" s="5" t="s">
        <v>235</v>
      </c>
      <c r="C9" s="12" t="s">
        <v>78</v>
      </c>
      <c r="D9" s="21" t="n">
        <f aca="false">D7+D8</f>
        <v>-0.85608</v>
      </c>
      <c r="E9" s="21" t="n">
        <f aca="false">E7+E8</f>
        <v>-0.85608</v>
      </c>
      <c r="F9" s="21" t="n">
        <f aca="false">F7+F8</f>
        <v>-4.64252033913957</v>
      </c>
      <c r="G9" s="21" t="n">
        <f aca="false">G7+G8</f>
        <v>0.868345921265251</v>
      </c>
      <c r="H9" s="21" t="n">
        <f aca="false">H7+H8</f>
        <v>4.37397618132909</v>
      </c>
      <c r="I9" s="21" t="n">
        <f aca="false">I7+I8</f>
        <v>4.89477474571447</v>
      </c>
      <c r="J9" s="21" t="n">
        <f aca="false">J7+J8</f>
        <v>4.65746815842338</v>
      </c>
      <c r="K9" s="21" t="n">
        <f aca="false">K7+K8</f>
        <v>4.41601891241729</v>
      </c>
      <c r="L9" s="21" t="n">
        <f aca="false">L7+L8</f>
        <v>4.16964565245259</v>
      </c>
      <c r="M9" s="21" t="n">
        <f aca="false">M7+M8</f>
        <v>3.91753353683339</v>
      </c>
      <c r="N9" s="21" t="n">
        <f aca="false">N7+N8</f>
        <v>3.6588319300903</v>
      </c>
      <c r="O9" s="21" t="n">
        <f aca="false">O7+O8</f>
        <v>3.39265197184113</v>
      </c>
      <c r="P9" s="21" t="n">
        <f aca="false">P7+P8</f>
        <v>3.11806401425503</v>
      </c>
      <c r="Q9" s="21" t="n">
        <f aca="false">Q7+Q8</f>
        <v>2.83409492010077</v>
      </c>
      <c r="R9" s="21" t="n">
        <f aca="false">R7+R8</f>
        <v>2.53972521289171</v>
      </c>
      <c r="S9" s="21" t="n">
        <f aca="false">S7+S8</f>
        <v>2.23388607014469</v>
      </c>
      <c r="T9" s="21" t="n">
        <f aca="false">T7+T8</f>
        <v>1.91545615024374</v>
      </c>
      <c r="U9" s="21" t="n">
        <f aca="false">U7+U8</f>
        <v>1.58325824284218</v>
      </c>
      <c r="V9" s="21" t="n">
        <f aca="false">V7+V8</f>
        <v>1.23605573214584</v>
      </c>
      <c r="W9" s="21" t="n">
        <f aca="false">W7+W8</f>
        <v>0.872548861792758</v>
      </c>
    </row>
    <row r="10" customFormat="false" ht="15" hidden="false" customHeight="true" outlineLevel="0" collapsed="false">
      <c r="B10" s="5" t="s">
        <v>236</v>
      </c>
      <c r="C10" s="12" t="s">
        <v>78</v>
      </c>
      <c r="D10" s="21" t="n">
        <f aca="false">IF(MAX(0,1-Assumptions!C31/12)&lt;=Assumptions!C23,0,-MAX(0,D9)*Assumptions!C20)</f>
        <v>0</v>
      </c>
      <c r="E10" s="21" t="n">
        <f aca="false">IF(MAX(0,2-Assumptions!C31/12)&lt;=Assumptions!C23,0,-MAX(0,E9)*Assumptions!C20)</f>
        <v>0</v>
      </c>
      <c r="F10" s="21" t="n">
        <f aca="false">IF(MAX(0,3-Assumptions!C31/12)&lt;=Assumptions!C23,0,-MAX(0,F9)*Assumptions!C20)</f>
        <v>0</v>
      </c>
      <c r="G10" s="21" t="n">
        <f aca="false">IF(MAX(0,4-Assumptions!C31/12)&lt;=Assumptions!C23,0,-MAX(0,G9)*Assumptions!C20)</f>
        <v>0</v>
      </c>
      <c r="H10" s="21" t="n">
        <f aca="false">IF(MAX(0,5-Assumptions!C31/12)&lt;=Assumptions!C23,0,-MAX(0,H9)*Assumptions!C20)</f>
        <v>0</v>
      </c>
      <c r="I10" s="21" t="n">
        <f aca="false">IF(MAX(0,6-Assumptions!C31/12)&lt;=Assumptions!C23,0,-MAX(0,I9)*Assumptions!C20)</f>
        <v>0</v>
      </c>
      <c r="J10" s="21" t="n">
        <f aca="false">IF(MAX(0,7-Assumptions!C31/12)&lt;=Assumptions!C23,0,-MAX(0,J9)*Assumptions!C20)</f>
        <v>0</v>
      </c>
      <c r="K10" s="21" t="n">
        <f aca="false">IF(MAX(0,8-Assumptions!C31/12)&lt;=Assumptions!C23,0,-MAX(0,K9)*Assumptions!C20)</f>
        <v>-1.32480567372519</v>
      </c>
      <c r="L10" s="21" t="n">
        <f aca="false">IF(MAX(0,9-Assumptions!C31/12)&lt;=Assumptions!C23,0,-MAX(0,L9)*Assumptions!C20)</f>
        <v>-1.25089369573578</v>
      </c>
      <c r="M10" s="21" t="n">
        <f aca="false">IF(MAX(0,10-Assumptions!C31/12)&lt;=Assumptions!C23,0,-MAX(0,M9)*Assumptions!C20)</f>
        <v>-1.17526006105002</v>
      </c>
      <c r="N10" s="21" t="n">
        <f aca="false">IF(MAX(0,11-Assumptions!C31/12)&lt;=Assumptions!C23,0,-MAX(0,N9)*Assumptions!C20)</f>
        <v>-1.09764957902709</v>
      </c>
      <c r="O10" s="21" t="n">
        <f aca="false">IF(MAX(0,12-Assumptions!C31/12)&lt;=Assumptions!C23,0,-MAX(0,O9)*Assumptions!C20)</f>
        <v>-1.01779559155234</v>
      </c>
      <c r="P10" s="21" t="n">
        <f aca="false">IF(MAX(0,13-Assumptions!C31/12)&lt;=Assumptions!C23,0,-MAX(0,P9)*Assumptions!C20)</f>
        <v>-0.935419204276509</v>
      </c>
      <c r="Q10" s="21" t="n">
        <f aca="false">IF(MAX(0,14-Assumptions!C31/12)&lt;=Assumptions!C23,0,-MAX(0,Q9)*Assumptions!C20)</f>
        <v>-0.85022847603023</v>
      </c>
      <c r="R10" s="21" t="n">
        <f aca="false">IF(MAX(0,15-Assumptions!C31/12)&lt;=Assumptions!C23,0,-MAX(0,R9)*Assumptions!C20)</f>
        <v>-0.761917563867512</v>
      </c>
      <c r="S10" s="21" t="n">
        <f aca="false">IF(MAX(0,16-Assumptions!C31/12)&lt;=Assumptions!C23,0,-MAX(0,S9)*Assumptions!C20)</f>
        <v>-0.670165821043407</v>
      </c>
      <c r="T10" s="21" t="n">
        <f aca="false">IF(MAX(0,17-Assumptions!C31/12)&lt;=Assumptions!C23,0,-MAX(0,T9)*Assumptions!C20)</f>
        <v>-0.574636845073121</v>
      </c>
      <c r="U10" s="21" t="n">
        <f aca="false">IF(MAX(0,18-Assumptions!C31/12)&lt;=Assumptions!C23,0,-MAX(0,U9)*Assumptions!C20)</f>
        <v>-0.474977472852655</v>
      </c>
      <c r="V10" s="21" t="n">
        <f aca="false">IF(MAX(0,19-Assumptions!C31/12)&lt;=Assumptions!C23,0,-MAX(0,V9)*Assumptions!C20)</f>
        <v>-0.370816719643752</v>
      </c>
      <c r="W10" s="21" t="n">
        <f aca="false">IF(MAX(0,20-Assumptions!C31/12)&lt;=Assumptions!C23,0,-MAX(0,W9)*Assumptions!C20)</f>
        <v>-0.261764658537827</v>
      </c>
    </row>
    <row r="11" customFormat="false" ht="15" hidden="false" customHeight="true" outlineLevel="0" collapsed="false">
      <c r="B11" s="5" t="s">
        <v>237</v>
      </c>
      <c r="C11" s="12" t="s">
        <v>78</v>
      </c>
      <c r="D11" s="21" t="n">
        <f aca="false">D9+D10</f>
        <v>-0.85608</v>
      </c>
      <c r="E11" s="21" t="n">
        <f aca="false">E9+E10</f>
        <v>-0.85608</v>
      </c>
      <c r="F11" s="21" t="n">
        <f aca="false">F9+F10</f>
        <v>-4.64252033913957</v>
      </c>
      <c r="G11" s="21" t="n">
        <f aca="false">G9+G10</f>
        <v>0.868345921265251</v>
      </c>
      <c r="H11" s="21" t="n">
        <f aca="false">H9+H10</f>
        <v>4.37397618132909</v>
      </c>
      <c r="I11" s="21" t="n">
        <f aca="false">I9+I10</f>
        <v>4.89477474571447</v>
      </c>
      <c r="J11" s="21" t="n">
        <f aca="false">J9+J10</f>
        <v>4.65746815842338</v>
      </c>
      <c r="K11" s="21" t="n">
        <f aca="false">K9+K10</f>
        <v>3.0912132386921</v>
      </c>
      <c r="L11" s="21" t="n">
        <f aca="false">L9+L10</f>
        <v>2.91875195671681</v>
      </c>
      <c r="M11" s="21" t="n">
        <f aca="false">M9+M10</f>
        <v>2.74227347578337</v>
      </c>
      <c r="N11" s="21" t="n">
        <f aca="false">N9+N10</f>
        <v>2.56118235106321</v>
      </c>
      <c r="O11" s="21" t="n">
        <f aca="false">O9+O10</f>
        <v>2.37485638028879</v>
      </c>
      <c r="P11" s="21" t="n">
        <f aca="false">P9+P10</f>
        <v>2.18264480997852</v>
      </c>
      <c r="Q11" s="21" t="n">
        <f aca="false">Q9+Q10</f>
        <v>1.98386644407054</v>
      </c>
      <c r="R11" s="21" t="n">
        <f aca="false">R9+R10</f>
        <v>1.77780764902419</v>
      </c>
      <c r="S11" s="21" t="n">
        <f aca="false">S9+S10</f>
        <v>1.56372024910128</v>
      </c>
      <c r="T11" s="21" t="n">
        <f aca="false">T9+T10</f>
        <v>1.34081930517062</v>
      </c>
      <c r="U11" s="21" t="n">
        <f aca="false">U9+U10</f>
        <v>1.10828076998953</v>
      </c>
      <c r="V11" s="21" t="n">
        <f aca="false">V9+V10</f>
        <v>0.865239012502088</v>
      </c>
      <c r="W11" s="21" t="n">
        <f aca="false">W9+W10</f>
        <v>0.610784203254931</v>
      </c>
    </row>
    <row r="12" customFormat="false" ht="15" hidden="false" customHeight="true" outlineLevel="0" collapsed="false">
      <c r="B12" s="5" t="s">
        <v>238</v>
      </c>
      <c r="C12" s="12" t="s">
        <v>78</v>
      </c>
      <c r="D12" s="21" t="n">
        <f aca="false">-D8</f>
        <v>-0</v>
      </c>
      <c r="E12" s="21" t="n">
        <f aca="false">-E8</f>
        <v>-0</v>
      </c>
      <c r="F12" s="21" t="n">
        <f aca="false">-F8</f>
        <v>2.8536</v>
      </c>
      <c r="G12" s="21" t="n">
        <f aca="false">-G8</f>
        <v>2.8536</v>
      </c>
      <c r="H12" s="21" t="n">
        <f aca="false">-H8</f>
        <v>2.8536</v>
      </c>
      <c r="I12" s="21" t="n">
        <f aca="false">-I8</f>
        <v>2.8536</v>
      </c>
      <c r="J12" s="21" t="n">
        <f aca="false">-J8</f>
        <v>2.8536</v>
      </c>
      <c r="K12" s="21" t="n">
        <f aca="false">-K8</f>
        <v>2.8536</v>
      </c>
      <c r="L12" s="21" t="n">
        <f aca="false">-L8</f>
        <v>2.8536</v>
      </c>
      <c r="M12" s="21" t="n">
        <f aca="false">-M8</f>
        <v>2.8536</v>
      </c>
      <c r="N12" s="21" t="n">
        <f aca="false">-N8</f>
        <v>2.8536</v>
      </c>
      <c r="O12" s="21" t="n">
        <f aca="false">-O8</f>
        <v>2.8536</v>
      </c>
      <c r="P12" s="21" t="n">
        <f aca="false">-P8</f>
        <v>2.8536</v>
      </c>
      <c r="Q12" s="21" t="n">
        <f aca="false">-Q8</f>
        <v>2.8536</v>
      </c>
      <c r="R12" s="21" t="n">
        <f aca="false">-R8</f>
        <v>2.8536</v>
      </c>
      <c r="S12" s="21" t="n">
        <f aca="false">-S8</f>
        <v>2.8536</v>
      </c>
      <c r="T12" s="21" t="n">
        <f aca="false">-T8</f>
        <v>2.8536</v>
      </c>
      <c r="U12" s="21" t="n">
        <f aca="false">-U8</f>
        <v>2.8536</v>
      </c>
      <c r="V12" s="21" t="n">
        <f aca="false">-V8</f>
        <v>2.8536</v>
      </c>
      <c r="W12" s="21" t="n">
        <f aca="false">-W8</f>
        <v>2.8536</v>
      </c>
    </row>
    <row r="13" customFormat="false" ht="15" hidden="false" customHeight="true" outlineLevel="0" collapsed="false">
      <c r="B13" s="5" t="s">
        <v>239</v>
      </c>
      <c r="C13" s="12" t="s">
        <v>78</v>
      </c>
      <c r="D13" s="28" t="n">
        <f aca="false">IF(1&lt;=Assumptions!C31/12,0,-'CAPEX Schedule'!C29*Assumptions!C40)</f>
        <v>0</v>
      </c>
      <c r="E13" s="28" t="n">
        <f aca="false">IF(2&lt;=Assumptions!C31/12,0,-'CAPEX Schedule'!C29*Assumptions!C40)</f>
        <v>0</v>
      </c>
      <c r="F13" s="28" t="n">
        <f aca="false">IF(3&lt;=Assumptions!C31/12,0,-'CAPEX Schedule'!C29*Assumptions!C40)</f>
        <v>-1.14144</v>
      </c>
      <c r="G13" s="28" t="n">
        <f aca="false">IF(4&lt;=Assumptions!C31/12,0,-'CAPEX Schedule'!C29*Assumptions!C40)</f>
        <v>-1.14144</v>
      </c>
      <c r="H13" s="28" t="n">
        <f aca="false">IF(5&lt;=Assumptions!C31/12,0,-'CAPEX Schedule'!C29*Assumptions!C40)</f>
        <v>-1.14144</v>
      </c>
      <c r="I13" s="28" t="n">
        <f aca="false">IF(6&lt;=Assumptions!C31/12,0,-'CAPEX Schedule'!C29*Assumptions!C40)</f>
        <v>-1.14144</v>
      </c>
      <c r="J13" s="28" t="n">
        <f aca="false">IF(7&lt;=Assumptions!C31/12,0,-'CAPEX Schedule'!C29*Assumptions!C40)</f>
        <v>-1.14144</v>
      </c>
      <c r="K13" s="28" t="n">
        <f aca="false">IF(8&lt;=Assumptions!C31/12,0,-'CAPEX Schedule'!C29*Assumptions!C40)</f>
        <v>-1.14144</v>
      </c>
      <c r="L13" s="28" t="n">
        <f aca="false">IF(9&lt;=Assumptions!C31/12,0,-'CAPEX Schedule'!C29*Assumptions!C40)</f>
        <v>-1.14144</v>
      </c>
      <c r="M13" s="28" t="n">
        <f aca="false">IF(10&lt;=Assumptions!C31/12,0,-'CAPEX Schedule'!C29*Assumptions!C40)</f>
        <v>-1.14144</v>
      </c>
      <c r="N13" s="28" t="n">
        <f aca="false">IF(11&lt;=Assumptions!C31/12,0,-'CAPEX Schedule'!C29*Assumptions!C40)</f>
        <v>-1.14144</v>
      </c>
      <c r="O13" s="28" t="n">
        <f aca="false">IF(12&lt;=Assumptions!C31/12,0,-'CAPEX Schedule'!C29*Assumptions!C40)</f>
        <v>-1.14144</v>
      </c>
      <c r="P13" s="28" t="n">
        <f aca="false">IF(13&lt;=Assumptions!C31/12,0,-'CAPEX Schedule'!C29*Assumptions!C40)</f>
        <v>-1.14144</v>
      </c>
      <c r="Q13" s="28" t="n">
        <f aca="false">IF(14&lt;=Assumptions!C31/12,0,-'CAPEX Schedule'!C29*Assumptions!C40)</f>
        <v>-1.14144</v>
      </c>
      <c r="R13" s="28" t="n">
        <f aca="false">IF(15&lt;=Assumptions!C31/12,0,-'CAPEX Schedule'!C29*Assumptions!C40)</f>
        <v>-1.14144</v>
      </c>
      <c r="S13" s="28" t="n">
        <f aca="false">IF(16&lt;=Assumptions!C31/12,0,-'CAPEX Schedule'!C29*Assumptions!C40)</f>
        <v>-1.14144</v>
      </c>
      <c r="T13" s="28" t="n">
        <f aca="false">IF(17&lt;=Assumptions!C31/12,0,-'CAPEX Schedule'!C29*Assumptions!C40)</f>
        <v>-1.14144</v>
      </c>
      <c r="U13" s="28" t="n">
        <f aca="false">IF(18&lt;=Assumptions!C31/12,0,-'CAPEX Schedule'!C29*Assumptions!C40)</f>
        <v>-1.14144</v>
      </c>
      <c r="V13" s="28" t="n">
        <f aca="false">IF(19&lt;=Assumptions!C31/12,0,-'CAPEX Schedule'!C29*Assumptions!C40)</f>
        <v>-1.14144</v>
      </c>
      <c r="W13" s="28" t="n">
        <f aca="false">IF(20&lt;=Assumptions!C31/12,0,-'CAPEX Schedule'!C29*Assumptions!C40)</f>
        <v>-1.14144</v>
      </c>
    </row>
    <row r="14" customFormat="false" ht="15" hidden="false" customHeight="true" outlineLevel="0" collapsed="false">
      <c r="B14" s="5" t="s">
        <v>240</v>
      </c>
      <c r="C14" s="12" t="s">
        <v>78</v>
      </c>
      <c r="D14" s="23" t="n">
        <f aca="false">D11+D12+D13</f>
        <v>-0.85608</v>
      </c>
      <c r="E14" s="23" t="n">
        <f aca="false">E11+E12+E13</f>
        <v>-0.85608</v>
      </c>
      <c r="F14" s="23" t="n">
        <f aca="false">F11+F12+F13</f>
        <v>-2.93036033913957</v>
      </c>
      <c r="G14" s="23" t="n">
        <f aca="false">G11+G12+G13</f>
        <v>2.58050592126525</v>
      </c>
      <c r="H14" s="23" t="n">
        <f aca="false">H11+H12+H13</f>
        <v>6.08613618132909</v>
      </c>
      <c r="I14" s="23" t="n">
        <f aca="false">I11+I12+I13</f>
        <v>6.60693474571447</v>
      </c>
      <c r="J14" s="23" t="n">
        <f aca="false">J11+J12+J13</f>
        <v>6.36962815842338</v>
      </c>
      <c r="K14" s="23" t="n">
        <f aca="false">K11+K12+K13</f>
        <v>4.8033732386921</v>
      </c>
      <c r="L14" s="23" t="n">
        <f aca="false">L11+L12+L13</f>
        <v>4.63091195671681</v>
      </c>
      <c r="M14" s="23" t="n">
        <f aca="false">M11+M12+M13</f>
        <v>4.45443347578337</v>
      </c>
      <c r="N14" s="23" t="n">
        <f aca="false">N11+N12+N13</f>
        <v>4.27334235106321</v>
      </c>
      <c r="O14" s="23" t="n">
        <f aca="false">O11+O12+O13</f>
        <v>4.08701638028879</v>
      </c>
      <c r="P14" s="23" t="n">
        <f aca="false">P11+P12+P13</f>
        <v>3.89480480997852</v>
      </c>
      <c r="Q14" s="23" t="n">
        <f aca="false">Q11+Q12+Q13</f>
        <v>3.69602644407054</v>
      </c>
      <c r="R14" s="23" t="n">
        <f aca="false">R11+R12+R13</f>
        <v>3.48996764902419</v>
      </c>
      <c r="S14" s="23" t="n">
        <f aca="false">S11+S12+S13</f>
        <v>3.27588024910128</v>
      </c>
      <c r="T14" s="23" t="n">
        <f aca="false">T11+T12+T13</f>
        <v>3.05297930517062</v>
      </c>
      <c r="U14" s="23" t="n">
        <f aca="false">U11+U12+U13</f>
        <v>2.82044076998953</v>
      </c>
      <c r="V14" s="23" t="n">
        <f aca="false">V11+V12+V13</f>
        <v>2.57739901250209</v>
      </c>
      <c r="W14" s="23" t="n">
        <f aca="false">W11+W12+W13</f>
        <v>2.32294420325493</v>
      </c>
    </row>
    <row r="16" customFormat="false" ht="15" hidden="false" customHeight="true" outlineLevel="0" collapsed="false">
      <c r="A16" s="9"/>
      <c r="B16" s="10" t="s">
        <v>241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customFormat="false" ht="15" hidden="false" customHeight="true" outlineLevel="0" collapsed="false">
      <c r="B17" s="5" t="s">
        <v>242</v>
      </c>
      <c r="C17" s="12" t="s">
        <v>78</v>
      </c>
      <c r="D17" s="28" t="n">
        <f aca="false">'Financing Structure'!D18</f>
        <v>-0.667029</v>
      </c>
      <c r="E17" s="28" t="n">
        <f aca="false">'Financing Structure'!E18</f>
        <v>-2.001087</v>
      </c>
      <c r="F17" s="28" t="n">
        <f aca="false">'Financing Structure'!F18</f>
        <v>-2.668116</v>
      </c>
      <c r="G17" s="28" t="n">
        <f aca="false">'Financing Structure'!G18</f>
        <v>-2.668116</v>
      </c>
      <c r="H17" s="28" t="n">
        <f aca="false">'Financing Structure'!H18</f>
        <v>-6.00762066666667</v>
      </c>
      <c r="I17" s="28" t="n">
        <f aca="false">'Financing Structure'!I18</f>
        <v>-5.71116333333333</v>
      </c>
      <c r="J17" s="28" t="n">
        <f aca="false">'Financing Structure'!J18</f>
        <v>-5.414706</v>
      </c>
      <c r="K17" s="28" t="n">
        <f aca="false">'Financing Structure'!K18</f>
        <v>-5.11824866666667</v>
      </c>
      <c r="L17" s="28" t="n">
        <f aca="false">'Financing Structure'!L18</f>
        <v>-4.82179133333333</v>
      </c>
      <c r="M17" s="28" t="n">
        <f aca="false">'Financing Structure'!M18</f>
        <v>-4.525334</v>
      </c>
      <c r="N17" s="28" t="n">
        <f aca="false">'Financing Structure'!N18</f>
        <v>-4.22887666666667</v>
      </c>
      <c r="O17" s="28" t="n">
        <f aca="false">'Financing Structure'!O18</f>
        <v>-3.93241933333333</v>
      </c>
      <c r="P17" s="28" t="n">
        <f aca="false">'Financing Structure'!P18</f>
        <v>-3.635962</v>
      </c>
      <c r="Q17" s="28" t="n">
        <f aca="false">'Financing Structure'!Q18</f>
        <v>0</v>
      </c>
      <c r="R17" s="28" t="n">
        <f aca="false">'Financing Structure'!R18</f>
        <v>0</v>
      </c>
      <c r="S17" s="28" t="n">
        <f aca="false">'Financing Structure'!S18</f>
        <v>0</v>
      </c>
      <c r="T17" s="28" t="n">
        <f aca="false">'Financing Structure'!T18</f>
        <v>0</v>
      </c>
      <c r="U17" s="28" t="n">
        <f aca="false">'Financing Structure'!U18</f>
        <v>0</v>
      </c>
      <c r="V17" s="28" t="n">
        <f aca="false">'Financing Structure'!V18</f>
        <v>0</v>
      </c>
      <c r="W17" s="28" t="n">
        <f aca="false">'Financing Structure'!W18</f>
        <v>0</v>
      </c>
    </row>
    <row r="18" customFormat="false" ht="15" hidden="false" customHeight="true" outlineLevel="0" collapsed="false">
      <c r="B18" s="5" t="s">
        <v>243</v>
      </c>
      <c r="C18" s="12" t="s">
        <v>78</v>
      </c>
      <c r="D18" s="28" t="n">
        <f aca="false">'Financing Structure'!D26</f>
        <v>0</v>
      </c>
      <c r="E18" s="28" t="n">
        <f aca="false">'Financing Structure'!E26</f>
        <v>0</v>
      </c>
      <c r="F18" s="28" t="n">
        <f aca="false">'Financing Structure'!F26</f>
        <v>0</v>
      </c>
      <c r="G18" s="28" t="n">
        <f aca="false">'Financing Structure'!G26</f>
        <v>0</v>
      </c>
      <c r="H18" s="28" t="n">
        <f aca="false">'Financing Structure'!H26</f>
        <v>0</v>
      </c>
      <c r="I18" s="28" t="n">
        <f aca="false">'Financing Structure'!I26</f>
        <v>0</v>
      </c>
      <c r="J18" s="28" t="n">
        <f aca="false">'Financing Structure'!J26</f>
        <v>0</v>
      </c>
      <c r="K18" s="28" t="n">
        <f aca="false">'Financing Structure'!K26</f>
        <v>0</v>
      </c>
      <c r="L18" s="28" t="n">
        <f aca="false">'Financing Structure'!L26</f>
        <v>0</v>
      </c>
      <c r="M18" s="28" t="n">
        <f aca="false">'Financing Structure'!M26</f>
        <v>0</v>
      </c>
      <c r="N18" s="28" t="n">
        <f aca="false">'Financing Structure'!N26</f>
        <v>0</v>
      </c>
      <c r="O18" s="28" t="n">
        <f aca="false">'Financing Structure'!O26</f>
        <v>0</v>
      </c>
      <c r="P18" s="28" t="n">
        <f aca="false">'Financing Structure'!P26</f>
        <v>0</v>
      </c>
      <c r="Q18" s="28" t="n">
        <f aca="false">'Financing Structure'!Q26</f>
        <v>0</v>
      </c>
      <c r="R18" s="28" t="n">
        <f aca="false">'Financing Structure'!R26</f>
        <v>0</v>
      </c>
      <c r="S18" s="28" t="n">
        <f aca="false">'Financing Structure'!S26</f>
        <v>0</v>
      </c>
      <c r="T18" s="28" t="n">
        <f aca="false">'Financing Structure'!T26</f>
        <v>0</v>
      </c>
      <c r="U18" s="28" t="n">
        <f aca="false">'Financing Structure'!U26</f>
        <v>0</v>
      </c>
      <c r="V18" s="28" t="n">
        <f aca="false">'Financing Structure'!V26</f>
        <v>0</v>
      </c>
      <c r="W18" s="28" t="n">
        <f aca="false">'Financing Structure'!W26</f>
        <v>0</v>
      </c>
    </row>
    <row r="19" customFormat="false" ht="15" hidden="false" customHeight="true" outlineLevel="0" collapsed="false">
      <c r="B19" s="5" t="s">
        <v>244</v>
      </c>
      <c r="C19" s="12" t="s">
        <v>78</v>
      </c>
      <c r="D19" s="28" t="n">
        <f aca="false">'Financing Structure'!D34</f>
        <v>0</v>
      </c>
      <c r="E19" s="28" t="n">
        <f aca="false">'Financing Structure'!E34</f>
        <v>0</v>
      </c>
      <c r="F19" s="28" t="n">
        <f aca="false">'Financing Structure'!F34</f>
        <v>0</v>
      </c>
      <c r="G19" s="28" t="n">
        <f aca="false">'Financing Structure'!G34</f>
        <v>0</v>
      </c>
      <c r="H19" s="28" t="n">
        <f aca="false">'Financing Structure'!H34</f>
        <v>0</v>
      </c>
      <c r="I19" s="28" t="n">
        <f aca="false">'Financing Structure'!I34</f>
        <v>0</v>
      </c>
      <c r="J19" s="28" t="n">
        <f aca="false">'Financing Structure'!J34</f>
        <v>0</v>
      </c>
      <c r="K19" s="28" t="n">
        <f aca="false">'Financing Structure'!K34</f>
        <v>0</v>
      </c>
      <c r="L19" s="28" t="n">
        <f aca="false">'Financing Structure'!L34</f>
        <v>0</v>
      </c>
      <c r="M19" s="28" t="n">
        <f aca="false">'Financing Structure'!M34</f>
        <v>0</v>
      </c>
      <c r="N19" s="28" t="n">
        <f aca="false">'Financing Structure'!N34</f>
        <v>0</v>
      </c>
      <c r="O19" s="28" t="n">
        <f aca="false">'Financing Structure'!O34</f>
        <v>0</v>
      </c>
      <c r="P19" s="28" t="n">
        <f aca="false">'Financing Structure'!P34</f>
        <v>0</v>
      </c>
      <c r="Q19" s="28" t="n">
        <f aca="false">'Financing Structure'!Q34</f>
        <v>0</v>
      </c>
      <c r="R19" s="28" t="n">
        <f aca="false">'Financing Structure'!R34</f>
        <v>0</v>
      </c>
      <c r="S19" s="28" t="n">
        <f aca="false">'Financing Structure'!S34</f>
        <v>0</v>
      </c>
      <c r="T19" s="28" t="n">
        <f aca="false">'Financing Structure'!T34</f>
        <v>0</v>
      </c>
      <c r="U19" s="28" t="n">
        <f aca="false">'Financing Structure'!U34</f>
        <v>0</v>
      </c>
      <c r="V19" s="28" t="n">
        <f aca="false">'Financing Structure'!V34</f>
        <v>0</v>
      </c>
      <c r="W19" s="28" t="n">
        <f aca="false">'Financing Structure'!W34</f>
        <v>0</v>
      </c>
    </row>
    <row r="20" customFormat="false" ht="15" hidden="false" customHeight="true" outlineLevel="0" collapsed="false">
      <c r="B20" s="5" t="s">
        <v>245</v>
      </c>
      <c r="C20" s="12" t="s">
        <v>78</v>
      </c>
      <c r="D20" s="23" t="n">
        <f aca="false">D14+D17+D18+D19</f>
        <v>-1.523109</v>
      </c>
      <c r="E20" s="23" t="n">
        <f aca="false">E14+E17+E18+E19</f>
        <v>-2.857167</v>
      </c>
      <c r="F20" s="23" t="n">
        <f aca="false">F14+F17+F18+F19</f>
        <v>-5.59847633913957</v>
      </c>
      <c r="G20" s="23" t="n">
        <f aca="false">G14+G17+G18+G19</f>
        <v>-0.0876100787347505</v>
      </c>
      <c r="H20" s="23" t="n">
        <f aca="false">H14+H17+H18+H19</f>
        <v>0.0785155146624179</v>
      </c>
      <c r="I20" s="23" t="n">
        <f aca="false">I14+I17+I18+I19</f>
        <v>0.895771412381137</v>
      </c>
      <c r="J20" s="23" t="n">
        <f aca="false">J14+J17+J18+J19</f>
        <v>0.954922158423384</v>
      </c>
      <c r="K20" s="23" t="n">
        <f aca="false">K14+K17+K18+K19</f>
        <v>-0.314875427974565</v>
      </c>
      <c r="L20" s="23" t="n">
        <f aca="false">L14+L17+L18+L19</f>
        <v>-0.190879376616523</v>
      </c>
      <c r="M20" s="23" t="n">
        <f aca="false">M14+M17+M18+M19</f>
        <v>-0.0709005242166274</v>
      </c>
      <c r="N20" s="23" t="n">
        <f aca="false">N14+N17+N18+N19</f>
        <v>0.0444656843965454</v>
      </c>
      <c r="O20" s="23" t="n">
        <f aca="false">O14+O17+O18+O19</f>
        <v>0.154597046955455</v>
      </c>
      <c r="P20" s="23" t="n">
        <f aca="false">P14+P17+P18+P19</f>
        <v>0.258842809978521</v>
      </c>
      <c r="Q20" s="23" t="n">
        <f aca="false">Q14+Q17+Q18+Q19</f>
        <v>3.69602644407054</v>
      </c>
      <c r="R20" s="23" t="n">
        <f aca="false">R14+R17+R18+R19</f>
        <v>3.48996764902419</v>
      </c>
      <c r="S20" s="23" t="n">
        <f aca="false">S14+S17+S18+S19</f>
        <v>3.27588024910128</v>
      </c>
      <c r="T20" s="23" t="n">
        <f aca="false">T14+T17+T18+T19</f>
        <v>3.05297930517062</v>
      </c>
      <c r="U20" s="23" t="n">
        <f aca="false">U14+U17+U18+U19</f>
        <v>2.82044076998953</v>
      </c>
      <c r="V20" s="23" t="n">
        <f aca="false">V14+V17+V18+V19</f>
        <v>2.57739901250209</v>
      </c>
      <c r="W20" s="23" t="n">
        <f aca="false">W14+W17+W18+W19</f>
        <v>2.32294420325493</v>
      </c>
    </row>
    <row r="22" customFormat="false" ht="15" hidden="false" customHeight="true" outlineLevel="0" collapsed="false">
      <c r="A22" s="9"/>
      <c r="B22" s="10" t="s">
        <v>246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customFormat="false" ht="15" hidden="false" customHeight="true" outlineLevel="0" collapsed="false">
      <c r="B23" s="5" t="s">
        <v>247</v>
      </c>
      <c r="C23" s="12" t="s">
        <v>78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</row>
    <row r="24" customFormat="false" ht="15" hidden="false" customHeight="true" outlineLevel="0" collapsed="false">
      <c r="B24" s="5" t="s">
        <v>248</v>
      </c>
      <c r="C24" s="12" t="s">
        <v>78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</row>
    <row r="25" customFormat="false" ht="15" hidden="false" customHeight="true" outlineLevel="0" collapsed="false">
      <c r="B25" s="5" t="s">
        <v>249</v>
      </c>
      <c r="C25" s="12" t="s">
        <v>78</v>
      </c>
      <c r="D25" s="21" t="n">
        <f aca="false">D20+D23+D24</f>
        <v>-1.523109</v>
      </c>
      <c r="E25" s="21" t="n">
        <f aca="false">E20+E23+E24</f>
        <v>-2.857167</v>
      </c>
      <c r="F25" s="21" t="n">
        <f aca="false">F20+F23+F24</f>
        <v>-5.59847633913957</v>
      </c>
      <c r="G25" s="21" t="n">
        <f aca="false">G20+G23+G24</f>
        <v>-0.0876100787347505</v>
      </c>
      <c r="H25" s="21" t="n">
        <f aca="false">H20+H23+H24</f>
        <v>0.0785155146624179</v>
      </c>
      <c r="I25" s="21" t="n">
        <f aca="false">I20+I23+I24</f>
        <v>0.895771412381137</v>
      </c>
      <c r="J25" s="21" t="n">
        <f aca="false">J20+J23+J24</f>
        <v>0.954922158423384</v>
      </c>
      <c r="K25" s="21" t="n">
        <f aca="false">K20+K23+K24</f>
        <v>-0.314875427974565</v>
      </c>
      <c r="L25" s="21" t="n">
        <f aca="false">L20+L23+L24</f>
        <v>-0.190879376616523</v>
      </c>
      <c r="M25" s="21" t="n">
        <f aca="false">M20+M23+M24</f>
        <v>-0.0709005242166274</v>
      </c>
      <c r="N25" s="21" t="n">
        <f aca="false">N20+N23+N24</f>
        <v>0.0444656843965454</v>
      </c>
      <c r="O25" s="21" t="n">
        <f aca="false">O20+O23+O24</f>
        <v>0.154597046955455</v>
      </c>
      <c r="P25" s="21" t="n">
        <f aca="false">P20+P23+P24</f>
        <v>0.258842809978521</v>
      </c>
      <c r="Q25" s="21" t="n">
        <f aca="false">Q20+Q23+Q24</f>
        <v>3.69602644407054</v>
      </c>
      <c r="R25" s="21" t="n">
        <f aca="false">R20+R23+R24</f>
        <v>3.48996764902419</v>
      </c>
      <c r="S25" s="21" t="n">
        <f aca="false">S20+S23+S24</f>
        <v>3.27588024910128</v>
      </c>
      <c r="T25" s="21" t="n">
        <f aca="false">T20+T23+T24</f>
        <v>3.05297930517062</v>
      </c>
      <c r="U25" s="21" t="n">
        <f aca="false">U20+U23+U24</f>
        <v>2.82044076998953</v>
      </c>
      <c r="V25" s="21" t="n">
        <f aca="false">V20+V23+V24</f>
        <v>2.57739901250209</v>
      </c>
      <c r="W25" s="21" t="n">
        <f aca="false">W20+W23+W24</f>
        <v>2.32294420325493</v>
      </c>
    </row>
    <row r="26" customFormat="false" ht="15" hidden="false" customHeight="true" outlineLevel="0" collapsed="false">
      <c r="B26" s="5" t="s">
        <v>250</v>
      </c>
      <c r="C26" s="12" t="s">
        <v>78</v>
      </c>
      <c r="D26" s="21" t="n">
        <f aca="false">-MAX(0,D25)*Assumptions!C20</f>
        <v>-0</v>
      </c>
      <c r="E26" s="21" t="n">
        <f aca="false">-MAX(0,E25)*Assumptions!C20</f>
        <v>-0</v>
      </c>
      <c r="F26" s="21" t="n">
        <f aca="false">-MAX(0,F25)*Assumptions!C20</f>
        <v>-0</v>
      </c>
      <c r="G26" s="21" t="n">
        <f aca="false">-MAX(0,G25)*Assumptions!C20</f>
        <v>-0</v>
      </c>
      <c r="H26" s="21" t="n">
        <f aca="false">-MAX(0,H25)*Assumptions!C20</f>
        <v>-0.0235546543987254</v>
      </c>
      <c r="I26" s="21" t="n">
        <f aca="false">-MAX(0,I25)*Assumptions!C20</f>
        <v>-0.268731423714341</v>
      </c>
      <c r="J26" s="21" t="n">
        <f aca="false">-MAX(0,J25)*Assumptions!C20</f>
        <v>-0.286476647527015</v>
      </c>
      <c r="K26" s="21" t="n">
        <f aca="false">-MAX(0,K25)*Assumptions!C20</f>
        <v>-0</v>
      </c>
      <c r="L26" s="21" t="n">
        <f aca="false">-MAX(0,L25)*Assumptions!C20</f>
        <v>-0</v>
      </c>
      <c r="M26" s="21" t="n">
        <f aca="false">-MAX(0,M25)*Assumptions!C20</f>
        <v>-0</v>
      </c>
      <c r="N26" s="21" t="n">
        <f aca="false">-MAX(0,N25)*Assumptions!C20</f>
        <v>-0.0133397053189636</v>
      </c>
      <c r="O26" s="21" t="n">
        <f aca="false">-MAX(0,O25)*Assumptions!C20</f>
        <v>-0.0463791140866364</v>
      </c>
      <c r="P26" s="21" t="n">
        <f aca="false">-MAX(0,P25)*Assumptions!C20</f>
        <v>-0.0776528429935562</v>
      </c>
      <c r="Q26" s="21" t="n">
        <f aca="false">-MAX(0,Q25)*Assumptions!C20</f>
        <v>-1.10880793322116</v>
      </c>
      <c r="R26" s="21" t="n">
        <f aca="false">-MAX(0,R25)*Assumptions!C20</f>
        <v>-1.04699029470726</v>
      </c>
      <c r="S26" s="21" t="n">
        <f aca="false">-MAX(0,S25)*Assumptions!C20</f>
        <v>-0.982764074730385</v>
      </c>
      <c r="T26" s="21" t="n">
        <f aca="false">-MAX(0,T25)*Assumptions!C20</f>
        <v>-0.915893791551185</v>
      </c>
      <c r="U26" s="21" t="n">
        <f aca="false">-MAX(0,U25)*Assumptions!C20</f>
        <v>-0.846132230996858</v>
      </c>
      <c r="V26" s="21" t="n">
        <f aca="false">-MAX(0,V25)*Assumptions!C20</f>
        <v>-0.773219703750626</v>
      </c>
      <c r="W26" s="21" t="n">
        <f aca="false">-MAX(0,W25)*Assumptions!C20</f>
        <v>-0.696883260976479</v>
      </c>
    </row>
    <row r="27" customFormat="false" ht="15" hidden="false" customHeight="true" outlineLevel="0" collapsed="false">
      <c r="B27" s="5" t="s">
        <v>251</v>
      </c>
      <c r="C27" s="12" t="s">
        <v>78</v>
      </c>
      <c r="D27" s="23" t="n">
        <f aca="false">D25+D26</f>
        <v>-1.523109</v>
      </c>
      <c r="E27" s="23" t="n">
        <f aca="false">E25+E26</f>
        <v>-2.857167</v>
      </c>
      <c r="F27" s="23" t="n">
        <f aca="false">F25+F26</f>
        <v>-5.59847633913957</v>
      </c>
      <c r="G27" s="23" t="n">
        <f aca="false">G25+G26</f>
        <v>-0.0876100787347505</v>
      </c>
      <c r="H27" s="23" t="n">
        <f aca="false">H25+H26</f>
        <v>0.0549608602636925</v>
      </c>
      <c r="I27" s="23" t="n">
        <f aca="false">I25+I26</f>
        <v>0.627039988666796</v>
      </c>
      <c r="J27" s="23" t="n">
        <f aca="false">J25+J26</f>
        <v>0.668445510896369</v>
      </c>
      <c r="K27" s="23" t="n">
        <f aca="false">K25+K26</f>
        <v>-0.314875427974565</v>
      </c>
      <c r="L27" s="23" t="n">
        <f aca="false">L25+L26</f>
        <v>-0.190879376616523</v>
      </c>
      <c r="M27" s="23" t="n">
        <f aca="false">M25+M26</f>
        <v>-0.0709005242166274</v>
      </c>
      <c r="N27" s="23" t="n">
        <f aca="false">N25+N26</f>
        <v>0.0311259790775818</v>
      </c>
      <c r="O27" s="23" t="n">
        <f aca="false">O25+O26</f>
        <v>0.108217932868818</v>
      </c>
      <c r="P27" s="23" t="n">
        <f aca="false">P25+P26</f>
        <v>0.181189966984965</v>
      </c>
      <c r="Q27" s="23" t="n">
        <f aca="false">Q25+Q26</f>
        <v>2.58721851084938</v>
      </c>
      <c r="R27" s="23" t="n">
        <f aca="false">R25+R26</f>
        <v>2.44297735431694</v>
      </c>
      <c r="S27" s="23" t="n">
        <f aca="false">S25+S26</f>
        <v>2.2931161743709</v>
      </c>
      <c r="T27" s="23" t="n">
        <f aca="false">T25+T26</f>
        <v>2.13708551361943</v>
      </c>
      <c r="U27" s="23" t="n">
        <f aca="false">U25+U26</f>
        <v>1.97430853899267</v>
      </c>
      <c r="V27" s="23" t="n">
        <f aca="false">V25+V26</f>
        <v>1.80417930875146</v>
      </c>
      <c r="W27" s="23" t="n">
        <f aca="false">W25+W26</f>
        <v>1.62606094227845</v>
      </c>
    </row>
    <row r="29" customFormat="false" ht="15" hidden="false" customHeight="true" outlineLevel="0" collapsed="false">
      <c r="A29" s="9"/>
      <c r="B29" s="10" t="s">
        <v>252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customFormat="false" ht="15" hidden="false" customHeight="true" outlineLevel="0" collapsed="false">
      <c r="B30" s="5" t="s">
        <v>253</v>
      </c>
      <c r="C30" s="12" t="s">
        <v>78</v>
      </c>
      <c r="D30" s="28" t="n">
        <f aca="false">D27*Assumptions!C33</f>
        <v>-22.846635</v>
      </c>
      <c r="E30" s="28" t="n">
        <f aca="false">E27*Assumptions!C33</f>
        <v>-42.857505</v>
      </c>
      <c r="F30" s="28" t="n">
        <f aca="false">F27*Assumptions!C33</f>
        <v>-83.9771450870935</v>
      </c>
      <c r="G30" s="28" t="n">
        <f aca="false">G27*Assumptions!C33</f>
        <v>-1.31415118102126</v>
      </c>
      <c r="H30" s="28" t="n">
        <f aca="false">H27*Assumptions!C33</f>
        <v>0.824412903955388</v>
      </c>
      <c r="I30" s="28" t="n">
        <f aca="false">I27*Assumptions!C33</f>
        <v>9.40559983000194</v>
      </c>
      <c r="J30" s="28" t="n">
        <f aca="false">J27*Assumptions!C33</f>
        <v>10.0266826634455</v>
      </c>
      <c r="K30" s="28" t="n">
        <f aca="false">K27*Assumptions!C33</f>
        <v>-4.72313141961847</v>
      </c>
      <c r="L30" s="28" t="n">
        <f aca="false">L27*Assumptions!C33</f>
        <v>-2.86319064924784</v>
      </c>
      <c r="M30" s="28" t="n">
        <f aca="false">M27*Assumptions!C33</f>
        <v>-1.06350786324941</v>
      </c>
      <c r="N30" s="28" t="n">
        <f aca="false">N27*Assumptions!C33</f>
        <v>0.466889686163727</v>
      </c>
      <c r="O30" s="28" t="n">
        <f aca="false">O27*Assumptions!C33</f>
        <v>1.62326899303227</v>
      </c>
      <c r="P30" s="28" t="n">
        <f aca="false">P27*Assumptions!C33</f>
        <v>2.71784950477447</v>
      </c>
      <c r="Q30" s="28" t="n">
        <f aca="false">Q27*Assumptions!C33</f>
        <v>38.8082776627406</v>
      </c>
      <c r="R30" s="28" t="n">
        <f aca="false">R27*Assumptions!C33</f>
        <v>36.644660314754</v>
      </c>
      <c r="S30" s="28" t="n">
        <f aca="false">S27*Assumptions!C33</f>
        <v>34.3967426155635</v>
      </c>
      <c r="T30" s="28" t="n">
        <f aca="false">T27*Assumptions!C33</f>
        <v>32.0562827042915</v>
      </c>
      <c r="U30" s="28" t="n">
        <f aca="false">U27*Assumptions!C33</f>
        <v>29.61462808489</v>
      </c>
      <c r="V30" s="28" t="n">
        <f aca="false">V27*Assumptions!C33</f>
        <v>27.0626896312719</v>
      </c>
      <c r="W30" s="28" t="n">
        <f aca="false">W27*Assumptions!C33</f>
        <v>24.3909141341768</v>
      </c>
    </row>
    <row r="31" customFormat="false" ht="15" hidden="false" customHeight="true" outlineLevel="0" collapsed="false">
      <c r="B31" s="5" t="s">
        <v>254</v>
      </c>
      <c r="C31" s="12" t="s">
        <v>78</v>
      </c>
      <c r="D31" s="21" t="n">
        <f aca="false">D30</f>
        <v>-22.846635</v>
      </c>
      <c r="E31" s="21" t="n">
        <f aca="false">D31+E30</f>
        <v>-65.70414</v>
      </c>
      <c r="F31" s="21" t="n">
        <f aca="false">E31+F30</f>
        <v>-149.681285087094</v>
      </c>
      <c r="G31" s="21" t="n">
        <f aca="false">F31+G30</f>
        <v>-150.995436268115</v>
      </c>
      <c r="H31" s="21" t="n">
        <f aca="false">G31+H30</f>
        <v>-150.171023364159</v>
      </c>
      <c r="I31" s="21" t="n">
        <f aca="false">H31+I30</f>
        <v>-140.765423534157</v>
      </c>
      <c r="J31" s="21" t="n">
        <f aca="false">I31+J30</f>
        <v>-130.738740870712</v>
      </c>
      <c r="K31" s="21" t="n">
        <f aca="false">J31+K30</f>
        <v>-135.46187229033</v>
      </c>
      <c r="L31" s="21" t="n">
        <f aca="false">K31+L30</f>
        <v>-138.325062939578</v>
      </c>
      <c r="M31" s="21" t="n">
        <f aca="false">L31+M30</f>
        <v>-139.388570802828</v>
      </c>
      <c r="N31" s="21" t="n">
        <f aca="false">M31+N30</f>
        <v>-138.921681116664</v>
      </c>
      <c r="O31" s="21" t="n">
        <f aca="false">N31+O30</f>
        <v>-137.298412123632</v>
      </c>
      <c r="P31" s="21" t="n">
        <f aca="false">O31+P30</f>
        <v>-134.580562618857</v>
      </c>
      <c r="Q31" s="21" t="n">
        <f aca="false">P31+Q30</f>
        <v>-95.7722849561165</v>
      </c>
      <c r="R31" s="21" t="n">
        <f aca="false">Q31+R30</f>
        <v>-59.1276246413625</v>
      </c>
      <c r="S31" s="21" t="n">
        <f aca="false">R31+S30</f>
        <v>-24.730882025799</v>
      </c>
      <c r="T31" s="21" t="n">
        <f aca="false">S31+T30</f>
        <v>7.32540067849246</v>
      </c>
      <c r="U31" s="21" t="n">
        <f aca="false">T31+U30</f>
        <v>36.9400287633825</v>
      </c>
      <c r="V31" s="21" t="n">
        <f aca="false">U31+V30</f>
        <v>64.0027183946544</v>
      </c>
      <c r="W31" s="21" t="n">
        <f aca="false">V31+W30</f>
        <v>88.3936325288312</v>
      </c>
    </row>
    <row r="33" customFormat="false" ht="15" hidden="false" customHeight="true" outlineLevel="0" collapsed="false">
      <c r="A33" s="9"/>
      <c r="B33" s="10" t="s">
        <v>255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customFormat="false" ht="15" hidden="false" customHeight="true" outlineLevel="0" collapsed="false">
      <c r="B34" s="5" t="s">
        <v>256</v>
      </c>
      <c r="C34" s="12" t="s">
        <v>61</v>
      </c>
      <c r="D34" s="30" t="str">
        <f aca="false">IF(D5=0,"-",D7/D5)</f>
        <v>-</v>
      </c>
      <c r="E34" s="30" t="str">
        <f aca="false">IF(E5=0,"-",E7/E5)</f>
        <v>-</v>
      </c>
      <c r="F34" s="30" t="n">
        <f aca="false">IF(F5=0,"-",F7/F5)</f>
        <v>-0.256519282653641</v>
      </c>
      <c r="G34" s="30" t="n">
        <f aca="false">IF(G5=0,"-",G7/G5)</f>
        <v>0.266548002000501</v>
      </c>
      <c r="H34" s="30" t="n">
        <f aca="false">IF(H5=0,"-",H7/H5)</f>
        <v>0.405276542272283</v>
      </c>
      <c r="I34" s="30" t="n">
        <f aca="false">IF(I5=0,"-",I7/I5)</f>
        <v>0.43350417838254</v>
      </c>
      <c r="J34" s="30" t="n">
        <f aca="false">IF(J5=0,"-",J7/J5)</f>
        <v>0.419055738559943</v>
      </c>
      <c r="K34" s="30" t="n">
        <f aca="false">IF(K5=0,"-",K7/K5)</f>
        <v>0.404237086519948</v>
      </c>
      <c r="L34" s="30" t="n">
        <f aca="false">IF(L5=0,"-",L7/L5)</f>
        <v>0.389033906121964</v>
      </c>
      <c r="M34" s="30" t="n">
        <f aca="false">IF(M5=0,"-",M7/M5)</f>
        <v>0.373431168392515</v>
      </c>
      <c r="N34" s="30" t="n">
        <f aca="false">IF(N5=0,"-",N7/N5)</f>
        <v>0.357413114903118</v>
      </c>
      <c r="O34" s="30" t="n">
        <f aca="false">IF(O5=0,"-",O7/O5)</f>
        <v>0.340963241258806</v>
      </c>
      <c r="P34" s="30" t="n">
        <f aca="false">IF(P5=0,"-",P7/P5)</f>
        <v>0.324064280571183</v>
      </c>
      <c r="Q34" s="30" t="n">
        <f aca="false">IF(Q5=0,"-",Q7/Q5)</f>
        <v>0.306698186783713</v>
      </c>
      <c r="R34" s="30" t="n">
        <f aca="false">IF(R5=0,"-",R7/R5)</f>
        <v>0.288846117712555</v>
      </c>
      <c r="S34" s="30" t="n">
        <f aca="false">IF(S5=0,"-",S7/S5)</f>
        <v>0.270488417663592</v>
      </c>
      <c r="T34" s="30" t="n">
        <f aca="false">IF(T5=0,"-",T7/T5)</f>
        <v>0.25160459948528</v>
      </c>
      <c r="U34" s="30" t="n">
        <f aca="false">IF(U5=0,"-",U7/U5)</f>
        <v>0.232173325917341</v>
      </c>
      <c r="V34" s="30" t="n">
        <f aca="false">IF(V5=0,"-",V7/V5)</f>
        <v>0.212172390097095</v>
      </c>
      <c r="W34" s="30" t="n">
        <f aca="false">IF(W5=0,"-",W7/W5)</f>
        <v>0.191578695088029</v>
      </c>
    </row>
    <row r="35" customFormat="false" ht="15" hidden="false" customHeight="true" outlineLevel="0" collapsed="false">
      <c r="B35" s="5" t="s">
        <v>257</v>
      </c>
      <c r="C35" s="12" t="s">
        <v>108</v>
      </c>
      <c r="D35" s="29" t="n">
        <f aca="false">'Financing Structure'!D41</f>
        <v>-1.28342245989305</v>
      </c>
      <c r="E35" s="29" t="n">
        <f aca="false">'Financing Structure'!E41</f>
        <v>-0.427807486631016</v>
      </c>
      <c r="F35" s="29" t="n">
        <f aca="false">'Financing Structure'!F41</f>
        <v>-1.09828820753654</v>
      </c>
      <c r="G35" s="29" t="n">
        <f aca="false">'Financing Structure'!G41</f>
        <v>0.967164066804161</v>
      </c>
      <c r="H35" s="29" t="n">
        <f aca="false">'Financing Structure'!H41</f>
        <v>1.01306931962234</v>
      </c>
      <c r="I35" s="29" t="n">
        <f aca="false">'Financing Structure'!I41</f>
        <v>1.15684570027142</v>
      </c>
      <c r="J35" s="29" t="n">
        <f aca="false">'Financing Structure'!J41</f>
        <v>1.1763571574197</v>
      </c>
      <c r="K35" s="29" t="n">
        <f aca="false">'Financing Structure'!K41</f>
        <v>0.938479849557675</v>
      </c>
      <c r="L35" s="29" t="n">
        <f aca="false">'Financing Structure'!L41</f>
        <v>0.960413181861073</v>
      </c>
      <c r="M35" s="29" t="n">
        <f aca="false">'Financing Structure'!M41</f>
        <v>0.984332532313277</v>
      </c>
      <c r="N35" s="29" t="n">
        <f aca="false">'Financing Structure'!N41</f>
        <v>1.01051477446648</v>
      </c>
      <c r="O35" s="29" t="n">
        <f aca="false">'Financing Structure'!O41</f>
        <v>1.03931346935588</v>
      </c>
      <c r="P35" s="29" t="n">
        <f aca="false">'Financing Structure'!P41</f>
        <v>1.07118963563935</v>
      </c>
      <c r="Q35" s="29" t="str">
        <f aca="false">'Financing Structure'!Q41</f>
        <v>-</v>
      </c>
      <c r="R35" s="29" t="str">
        <f aca="false">'Financing Structure'!R41</f>
        <v>-</v>
      </c>
      <c r="S35" s="29" t="str">
        <f aca="false">'Financing Structure'!S41</f>
        <v>-</v>
      </c>
      <c r="T35" s="29" t="str">
        <f aca="false">'Financing Structure'!T41</f>
        <v>-</v>
      </c>
      <c r="U35" s="29" t="str">
        <f aca="false">'Financing Structure'!U41</f>
        <v>-</v>
      </c>
      <c r="V35" s="29" t="str">
        <f aca="false">'Financing Structure'!V41</f>
        <v>-</v>
      </c>
      <c r="W35" s="29" t="str">
        <f aca="false">'Financing Structure'!W41</f>
        <v>-</v>
      </c>
    </row>
    <row r="36" customFormat="false" ht="15" hidden="false" customHeight="true" outlineLevel="0" collapsed="false">
      <c r="B36" s="5" t="s">
        <v>258</v>
      </c>
      <c r="C36" s="12" t="s">
        <v>108</v>
      </c>
      <c r="D36" s="29" t="n">
        <f aca="false">IF(D7=0,"-",'Financing Structure'!D37/D7)</f>
        <v>-18.3333333333333</v>
      </c>
      <c r="E36" s="29" t="n">
        <f aca="false">IF(E7=0,"-",'Financing Structure'!E37/E7)</f>
        <v>-36.6666666666667</v>
      </c>
      <c r="F36" s="29" t="n">
        <f aca="false">IF(F7=0,"-",'Financing Structure'!F37/F7)</f>
        <v>-17.5466728804133</v>
      </c>
      <c r="G36" s="29" t="n">
        <f aca="false">IF(G7=0,"-",'Financing Structure'!G37/G7)</f>
        <v>8.43365289663567</v>
      </c>
      <c r="H36" s="29" t="n">
        <f aca="false">IF(H7=0,"-",'Financing Structure'!H37/H7)</f>
        <v>3.86047354834464</v>
      </c>
      <c r="I36" s="29" t="n">
        <f aca="false">IF(I7=0,"-",'Financing Structure'!I37/I7)</f>
        <v>3.15087152268113</v>
      </c>
      <c r="J36" s="29" t="n">
        <f aca="false">IF(J7=0,"-",'Financing Structure'!J37/J7)</f>
        <v>2.78607510391605</v>
      </c>
      <c r="K36" s="29" t="n">
        <f aca="false">IF(K7=0,"-",'Financing Structure'!K37/K7)</f>
        <v>2.39884193061063</v>
      </c>
      <c r="L36" s="29" t="n">
        <f aca="false">IF(L7=0,"-",'Financing Structure'!L37/L7)</f>
        <v>1.98639404396478</v>
      </c>
      <c r="M36" s="29" t="n">
        <f aca="false">IF(M7=0,"-",'Financing Structure'!M37/M7)</f>
        <v>1.54526564024807</v>
      </c>
      <c r="N36" s="29" t="n">
        <f aca="false">IF(N7=0,"-",'Financing Structure'!N37/N7)</f>
        <v>1.07110012688761</v>
      </c>
      <c r="O36" s="29" t="n">
        <f aca="false">IF(O7=0,"-",'Financing Structure'!O37/O7)</f>
        <v>0.558372180478224</v>
      </c>
      <c r="P36" s="29" t="n">
        <f aca="false">IF(P7=0,"-",'Financing Structure'!P37/P7)</f>
        <v>0</v>
      </c>
      <c r="Q36" s="29" t="n">
        <f aca="false">IF(Q7=0,"-",'Financing Structure'!Q37/Q7)</f>
        <v>0</v>
      </c>
      <c r="R36" s="29" t="n">
        <f aca="false">IF(R7=0,"-",'Financing Structure'!R37/R7)</f>
        <v>0</v>
      </c>
      <c r="S36" s="29" t="n">
        <f aca="false">IF(S7=0,"-",'Financing Structure'!S37/S7)</f>
        <v>0</v>
      </c>
      <c r="T36" s="29" t="n">
        <f aca="false">IF(T7=0,"-",'Financing Structure'!T37/T7)</f>
        <v>0</v>
      </c>
      <c r="U36" s="29" t="n">
        <f aca="false">IF(U7=0,"-",'Financing Structure'!U37/U7)</f>
        <v>0</v>
      </c>
      <c r="V36" s="29" t="n">
        <f aca="false">IF(V7=0,"-",'Financing Structure'!V37/V7)</f>
        <v>0</v>
      </c>
      <c r="W36" s="29" t="n">
        <f aca="false">IF(W7=0,"-",'Financing Structure'!W37/W7)</f>
        <v>0</v>
      </c>
    </row>
    <row r="37" customFormat="false" ht="15" hidden="false" customHeight="true" outlineLevel="0" collapsed="false">
      <c r="B37" s="5" t="s">
        <v>259</v>
      </c>
      <c r="C37" s="12" t="s">
        <v>78</v>
      </c>
      <c r="D37" s="21" t="n">
        <f aca="false">D27</f>
        <v>-1.523109</v>
      </c>
      <c r="E37" s="21" t="n">
        <f aca="false">D37+E27</f>
        <v>-4.380276</v>
      </c>
      <c r="F37" s="21" t="n">
        <f aca="false">E37+F27</f>
        <v>-9.97875233913957</v>
      </c>
      <c r="G37" s="21" t="n">
        <f aca="false">F37+G27</f>
        <v>-10.0663624178743</v>
      </c>
      <c r="H37" s="21" t="n">
        <f aca="false">G37+H27</f>
        <v>-10.0114015576106</v>
      </c>
      <c r="I37" s="21" t="n">
        <f aca="false">H37+I27</f>
        <v>-9.38436156894383</v>
      </c>
      <c r="J37" s="21" t="n">
        <f aca="false">I37+J27</f>
        <v>-8.71591605804746</v>
      </c>
      <c r="K37" s="21" t="n">
        <f aca="false">J37+K27</f>
        <v>-9.03079148602203</v>
      </c>
      <c r="L37" s="21" t="n">
        <f aca="false">K37+L27</f>
        <v>-9.22167086263855</v>
      </c>
      <c r="M37" s="21" t="n">
        <f aca="false">L37+M27</f>
        <v>-9.29257138685517</v>
      </c>
      <c r="N37" s="21" t="n">
        <f aca="false">M37+N27</f>
        <v>-9.26144540777759</v>
      </c>
      <c r="O37" s="21" t="n">
        <f aca="false">N37+O27</f>
        <v>-9.15322747490878</v>
      </c>
      <c r="P37" s="21" t="n">
        <f aca="false">O37+P27</f>
        <v>-8.97203750792381</v>
      </c>
      <c r="Q37" s="21" t="n">
        <f aca="false">P37+Q27</f>
        <v>-6.38481899707444</v>
      </c>
      <c r="R37" s="21" t="n">
        <f aca="false">Q37+R27</f>
        <v>-3.9418416427575</v>
      </c>
      <c r="S37" s="21" t="n">
        <f aca="false">R37+S27</f>
        <v>-1.6487254683866</v>
      </c>
      <c r="T37" s="21" t="n">
        <f aca="false">S37+T27</f>
        <v>0.488360045232831</v>
      </c>
      <c r="U37" s="21" t="n">
        <f aca="false">T37+U27</f>
        <v>2.4626685842255</v>
      </c>
      <c r="V37" s="21" t="n">
        <f aca="false">U37+V27</f>
        <v>4.26684789297696</v>
      </c>
      <c r="W37" s="21" t="n">
        <f aca="false">V37+W27</f>
        <v>5.89290883525541</v>
      </c>
    </row>
  </sheetData>
  <mergeCells count="1">
    <mergeCell ref="B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W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23" min="4" style="1" width="14"/>
  </cols>
  <sheetData>
    <row r="1" customFormat="false" ht="17.25" hidden="false" customHeight="true" outlineLevel="0" collapsed="false">
      <c r="B1" s="8" t="s">
        <v>260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3" customFormat="false" ht="15" hidden="false" customHeight="true" outlineLevel="0" collapsed="false">
      <c r="B3" s="7" t="s">
        <v>261</v>
      </c>
      <c r="D3" s="24" t="n">
        <v>1</v>
      </c>
      <c r="E3" s="24" t="n">
        <v>2</v>
      </c>
      <c r="F3" s="24" t="n">
        <v>3</v>
      </c>
      <c r="G3" s="24" t="n">
        <v>4</v>
      </c>
      <c r="H3" s="24" t="n">
        <v>5</v>
      </c>
      <c r="I3" s="24" t="n">
        <v>6</v>
      </c>
      <c r="J3" s="24" t="n">
        <v>7</v>
      </c>
      <c r="K3" s="24" t="n">
        <v>8</v>
      </c>
      <c r="L3" s="24" t="n">
        <v>9</v>
      </c>
      <c r="M3" s="24" t="n">
        <v>10</v>
      </c>
      <c r="N3" s="24" t="n">
        <v>11</v>
      </c>
      <c r="O3" s="24" t="n">
        <v>12</v>
      </c>
      <c r="P3" s="24" t="n">
        <v>13</v>
      </c>
      <c r="Q3" s="24" t="n">
        <v>14</v>
      </c>
      <c r="R3" s="24" t="n">
        <v>15</v>
      </c>
      <c r="S3" s="24" t="n">
        <v>16</v>
      </c>
      <c r="T3" s="24" t="n">
        <v>17</v>
      </c>
      <c r="U3" s="24" t="n">
        <v>18</v>
      </c>
      <c r="V3" s="24" t="n">
        <v>19</v>
      </c>
      <c r="W3" s="24" t="n">
        <v>20</v>
      </c>
    </row>
    <row r="4" customFormat="false" ht="15" hidden="false" customHeight="true" outlineLevel="0" collapsed="false">
      <c r="A4" s="9"/>
      <c r="B4" s="10" t="s">
        <v>262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customFormat="false" ht="15" hidden="false" customHeight="true" outlineLevel="0" collapsed="false">
      <c r="B5" s="5" t="s">
        <v>263</v>
      </c>
      <c r="D5" s="31" t="n">
        <v>100</v>
      </c>
      <c r="E5" s="32" t="n">
        <f aca="false">D5*(1+Assumptions!C18)</f>
        <v>105</v>
      </c>
      <c r="F5" s="32" t="n">
        <f aca="false">E5*(1+Assumptions!C18)</f>
        <v>110.25</v>
      </c>
      <c r="G5" s="32" t="n">
        <f aca="false">F5*(1+Assumptions!C18)</f>
        <v>115.7625</v>
      </c>
      <c r="H5" s="32" t="n">
        <f aca="false">G5*(1+Assumptions!C18)</f>
        <v>121.550625</v>
      </c>
      <c r="I5" s="32" t="n">
        <f aca="false">H5*(1+Assumptions!C18)</f>
        <v>127.62815625</v>
      </c>
      <c r="J5" s="32" t="n">
        <f aca="false">I5*(1+Assumptions!C18)</f>
        <v>134.0095640625</v>
      </c>
      <c r="K5" s="32" t="n">
        <f aca="false">J5*(1+Assumptions!C18)</f>
        <v>140.710042265625</v>
      </c>
      <c r="L5" s="32" t="n">
        <f aca="false">K5*(1+Assumptions!C18)</f>
        <v>147.745544378906</v>
      </c>
      <c r="M5" s="32" t="n">
        <f aca="false">L5*(1+Assumptions!C18)</f>
        <v>155.132821597852</v>
      </c>
      <c r="N5" s="32" t="n">
        <f aca="false">M5*(1+Assumptions!C18)</f>
        <v>162.889462677744</v>
      </c>
      <c r="O5" s="32" t="n">
        <f aca="false">N5*(1+Assumptions!C18)</f>
        <v>171.033935811631</v>
      </c>
      <c r="P5" s="32" t="n">
        <f aca="false">O5*(1+Assumptions!C18)</f>
        <v>179.585632602213</v>
      </c>
      <c r="Q5" s="32" t="n">
        <f aca="false">P5*(1+Assumptions!C18)</f>
        <v>188.564914232324</v>
      </c>
      <c r="R5" s="32" t="n">
        <f aca="false">Q5*(1+Assumptions!C18)</f>
        <v>197.99315994394</v>
      </c>
      <c r="S5" s="32" t="n">
        <f aca="false">R5*(1+Assumptions!C18)</f>
        <v>207.892817941137</v>
      </c>
      <c r="T5" s="32" t="n">
        <f aca="false">S5*(1+Assumptions!C18)</f>
        <v>218.287458838194</v>
      </c>
      <c r="U5" s="32" t="n">
        <f aca="false">T5*(1+Assumptions!C18)</f>
        <v>229.201831780103</v>
      </c>
      <c r="V5" s="32" t="n">
        <f aca="false">U5*(1+Assumptions!C18)</f>
        <v>240.661923369109</v>
      </c>
      <c r="W5" s="32" t="n">
        <f aca="false">V5*(1+Assumptions!C18)</f>
        <v>252.695019537564</v>
      </c>
    </row>
    <row r="6" customFormat="false" ht="15" hidden="false" customHeight="true" outlineLevel="0" collapsed="false">
      <c r="B6" s="5" t="s">
        <v>264</v>
      </c>
      <c r="D6" s="32" t="n">
        <f aca="false">100*(1+Assumptions!C18)^0/(1+Assumptions!C17)^0</f>
        <v>100</v>
      </c>
      <c r="E6" s="32" t="n">
        <f aca="false">100*(1+Assumptions!C18)^1/(1+Assumptions!C17)^1</f>
        <v>102.439024390244</v>
      </c>
      <c r="F6" s="32" t="n">
        <f aca="false">100*(1+Assumptions!C18)^2/(1+Assumptions!C17)^2</f>
        <v>104.93753718025</v>
      </c>
      <c r="G6" s="32" t="n">
        <f aca="false">100*(1+Assumptions!C18)^3/(1+Assumptions!C17)^3</f>
        <v>107.496989306597</v>
      </c>
      <c r="H6" s="32" t="n">
        <f aca="false">100*(1+Assumptions!C18)^4/(1+Assumptions!C17)^4</f>
        <v>110.118867094563</v>
      </c>
      <c r="I6" s="32" t="n">
        <f aca="false">100*(1+Assumptions!C18)^5/(1+Assumptions!C17)^5</f>
        <v>112.80469312126</v>
      </c>
      <c r="J6" s="32" t="n">
        <f aca="false">100*(1+Assumptions!C18)^6/(1+Assumptions!C17)^6</f>
        <v>115.556027099827</v>
      </c>
      <c r="K6" s="32" t="n">
        <f aca="false">100*(1+Assumptions!C18)^7/(1+Assumptions!C17)^7</f>
        <v>118.374466785189</v>
      </c>
      <c r="L6" s="32" t="n">
        <f aca="false">100*(1+Assumptions!C18)^8/(1+Assumptions!C17)^8</f>
        <v>121.261648901901</v>
      </c>
      <c r="M6" s="32" t="n">
        <f aca="false">100*(1+Assumptions!C18)^9/(1+Assumptions!C17)^9</f>
        <v>124.21925009463</v>
      </c>
      <c r="N6" s="32" t="n">
        <f aca="false">100*(1+Assumptions!C18)^10/(1+Assumptions!C17)^10</f>
        <v>127.248987901816</v>
      </c>
      <c r="O6" s="32" t="n">
        <f aca="false">100*(1+Assumptions!C18)^11/(1+Assumptions!C17)^11</f>
        <v>130.35262175308</v>
      </c>
      <c r="P6" s="32" t="n">
        <f aca="false">100*(1+Assumptions!C18)^12/(1+Assumptions!C17)^12</f>
        <v>133.53195399096</v>
      </c>
      <c r="Q6" s="32" t="n">
        <f aca="false">100*(1+Assumptions!C18)^13/(1+Assumptions!C17)^13</f>
        <v>136.788830917569</v>
      </c>
      <c r="R6" s="32" t="n">
        <f aca="false">100*(1+Assumptions!C18)^14/(1+Assumptions!C17)^14</f>
        <v>140.125143866778</v>
      </c>
      <c r="S6" s="32" t="n">
        <f aca="false">100*(1+Assumptions!C18)^15/(1+Assumptions!C17)^15</f>
        <v>143.542830302553</v>
      </c>
      <c r="T6" s="32" t="n">
        <f aca="false">100*(1+Assumptions!C18)^16/(1+Assumptions!C17)^16</f>
        <v>147.043874944079</v>
      </c>
      <c r="U6" s="32" t="n">
        <f aca="false">100*(1+Assumptions!C18)^17/(1+Assumptions!C17)^17</f>
        <v>150.630310918325</v>
      </c>
      <c r="V6" s="32" t="n">
        <f aca="false">100*(1+Assumptions!C18)^18/(1+Assumptions!C17)^18</f>
        <v>154.304220940723</v>
      </c>
      <c r="W6" s="32" t="n">
        <f aca="false">100*(1+Assumptions!C18)^19/(1+Assumptions!C17)^19</f>
        <v>158.067738524643</v>
      </c>
    </row>
    <row r="7" customFormat="false" ht="15" hidden="false" customHeight="true" outlineLevel="0" collapsed="false">
      <c r="B7" s="5" t="s">
        <v>265</v>
      </c>
      <c r="D7" s="32" t="n">
        <f aca="false">100*(1+Assumptions!D18)^0</f>
        <v>100</v>
      </c>
      <c r="E7" s="32" t="n">
        <f aca="false">100*(1+Assumptions!D18)^1</f>
        <v>110</v>
      </c>
      <c r="F7" s="32" t="n">
        <f aca="false">100*(1+Assumptions!D18)^2</f>
        <v>121</v>
      </c>
      <c r="G7" s="32" t="n">
        <f aca="false">100*(1+Assumptions!D18)^3</f>
        <v>133.1</v>
      </c>
      <c r="H7" s="32" t="n">
        <f aca="false">100*(1+Assumptions!D18)^4</f>
        <v>146.41</v>
      </c>
      <c r="I7" s="32" t="n">
        <f aca="false">100*(1+Assumptions!D18)^5</f>
        <v>161.051</v>
      </c>
      <c r="J7" s="32" t="n">
        <f aca="false">100*(1+Assumptions!D18)^6</f>
        <v>177.1561</v>
      </c>
      <c r="K7" s="32" t="n">
        <f aca="false">100*(1+Assumptions!D18)^7</f>
        <v>194.87171</v>
      </c>
      <c r="L7" s="32" t="n">
        <f aca="false">100*(1+Assumptions!D18)^8</f>
        <v>214.358881</v>
      </c>
      <c r="M7" s="32" t="n">
        <f aca="false">100*(1+Assumptions!D18)^9</f>
        <v>235.7947691</v>
      </c>
      <c r="N7" s="32" t="n">
        <f aca="false">100*(1+Assumptions!D18)^10</f>
        <v>259.37424601</v>
      </c>
      <c r="O7" s="32" t="n">
        <f aca="false">100*(1+Assumptions!D18)^11</f>
        <v>285.311670611</v>
      </c>
      <c r="P7" s="32" t="n">
        <f aca="false">100*(1+Assumptions!D18)^12</f>
        <v>313.8428376721</v>
      </c>
      <c r="Q7" s="32" t="n">
        <f aca="false">100*(1+Assumptions!D18)^13</f>
        <v>345.22712143931</v>
      </c>
      <c r="R7" s="32" t="n">
        <f aca="false">100*(1+Assumptions!D18)^14</f>
        <v>379.749833583241</v>
      </c>
      <c r="S7" s="32" t="n">
        <f aca="false">100*(1+Assumptions!D18)^15</f>
        <v>417.724816941566</v>
      </c>
      <c r="T7" s="32" t="n">
        <f aca="false">100*(1+Assumptions!D18)^16</f>
        <v>459.497298635722</v>
      </c>
      <c r="U7" s="32" t="n">
        <f aca="false">100*(1+Assumptions!D18)^17</f>
        <v>505.447028499295</v>
      </c>
      <c r="V7" s="32" t="n">
        <f aca="false">100*(1+Assumptions!D18)^18</f>
        <v>555.991731349224</v>
      </c>
      <c r="W7" s="32" t="n">
        <f aca="false">100*(1+Assumptions!D18)^19</f>
        <v>611.590904484146</v>
      </c>
    </row>
    <row r="8" customFormat="false" ht="15" hidden="false" customHeight="true" outlineLevel="0" collapsed="false">
      <c r="B8" s="5" t="s">
        <v>266</v>
      </c>
    </row>
    <row r="9" customFormat="false" ht="15" hidden="false" customHeight="true" outlineLevel="0" collapsed="false">
      <c r="B9" s="5"/>
    </row>
    <row r="10" customFormat="false" ht="15" hidden="false" customHeight="true" outlineLevel="0" collapsed="false">
      <c r="A10" s="9"/>
      <c r="B10" s="10" t="s">
        <v>267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customFormat="false" ht="15" hidden="false" customHeight="true" outlineLevel="0" collapsed="false">
      <c r="B11" s="5" t="s">
        <v>268</v>
      </c>
      <c r="D11" s="14" t="n">
        <v>0.6</v>
      </c>
      <c r="E11" s="14" t="n">
        <v>0.6</v>
      </c>
      <c r="F11" s="14" t="n">
        <v>0.6</v>
      </c>
      <c r="G11" s="14" t="n">
        <v>0.6</v>
      </c>
      <c r="H11" s="14" t="n">
        <v>0.6</v>
      </c>
      <c r="I11" s="14" t="n">
        <v>0.6</v>
      </c>
      <c r="J11" s="14" t="n">
        <v>0.6</v>
      </c>
      <c r="K11" s="14" t="n">
        <v>0.6</v>
      </c>
      <c r="L11" s="14" t="n">
        <v>0.6</v>
      </c>
      <c r="M11" s="14" t="n">
        <v>0.6</v>
      </c>
      <c r="N11" s="14" t="n">
        <v>0.6</v>
      </c>
      <c r="O11" s="14" t="n">
        <v>0.6</v>
      </c>
      <c r="P11" s="14" t="n">
        <v>0.6</v>
      </c>
      <c r="Q11" s="14" t="n">
        <v>0.6</v>
      </c>
      <c r="R11" s="14" t="n">
        <v>0.6</v>
      </c>
      <c r="S11" s="14" t="n">
        <v>0.6</v>
      </c>
      <c r="T11" s="14" t="n">
        <v>0.6</v>
      </c>
      <c r="U11" s="14" t="n">
        <v>0.6</v>
      </c>
      <c r="V11" s="14" t="n">
        <v>0.6</v>
      </c>
      <c r="W11" s="14" t="n">
        <v>0.6</v>
      </c>
    </row>
    <row r="12" customFormat="false" ht="15" hidden="false" customHeight="true" outlineLevel="0" collapsed="false">
      <c r="B12" s="5" t="s">
        <v>269</v>
      </c>
      <c r="D12" s="30" t="n">
        <f aca="false">1-D11</f>
        <v>0.4</v>
      </c>
      <c r="E12" s="30" t="n">
        <f aca="false">1-E11</f>
        <v>0.4</v>
      </c>
      <c r="F12" s="30" t="n">
        <f aca="false">1-F11</f>
        <v>0.4</v>
      </c>
      <c r="G12" s="30" t="n">
        <f aca="false">1-G11</f>
        <v>0.4</v>
      </c>
      <c r="H12" s="30" t="n">
        <f aca="false">1-H11</f>
        <v>0.4</v>
      </c>
      <c r="I12" s="30" t="n">
        <f aca="false">1-I11</f>
        <v>0.4</v>
      </c>
      <c r="J12" s="30" t="n">
        <f aca="false">1-J11</f>
        <v>0.4</v>
      </c>
      <c r="K12" s="30" t="n">
        <f aca="false">1-K11</f>
        <v>0.4</v>
      </c>
      <c r="L12" s="30" t="n">
        <f aca="false">1-L11</f>
        <v>0.4</v>
      </c>
      <c r="M12" s="30" t="n">
        <f aca="false">1-M11</f>
        <v>0.4</v>
      </c>
      <c r="N12" s="30" t="n">
        <f aca="false">1-N11</f>
        <v>0.4</v>
      </c>
      <c r="O12" s="30" t="n">
        <f aca="false">1-O11</f>
        <v>0.4</v>
      </c>
      <c r="P12" s="30" t="n">
        <f aca="false">1-P11</f>
        <v>0.4</v>
      </c>
      <c r="Q12" s="30" t="n">
        <f aca="false">1-Q11</f>
        <v>0.4</v>
      </c>
      <c r="R12" s="30" t="n">
        <f aca="false">1-R11</f>
        <v>0.4</v>
      </c>
      <c r="S12" s="30" t="n">
        <f aca="false">1-S11</f>
        <v>0.4</v>
      </c>
      <c r="T12" s="30" t="n">
        <f aca="false">1-T11</f>
        <v>0.4</v>
      </c>
      <c r="U12" s="30" t="n">
        <f aca="false">1-U11</f>
        <v>0.4</v>
      </c>
      <c r="V12" s="30" t="n">
        <f aca="false">1-V11</f>
        <v>0.4</v>
      </c>
      <c r="W12" s="30" t="n">
        <f aca="false">1-W11</f>
        <v>0.4</v>
      </c>
    </row>
    <row r="13" customFormat="false" ht="15" hidden="false" customHeight="true" outlineLevel="0" collapsed="false">
      <c r="B13" s="5" t="s">
        <v>270</v>
      </c>
      <c r="D13" s="28" t="n">
        <f aca="false">'Revenue Build'!D15*(D11+D12*(100/D5))</f>
        <v>0</v>
      </c>
      <c r="E13" s="28" t="n">
        <f aca="false">'Revenue Build'!E15*(E11+E12*(100/E5))</f>
        <v>0</v>
      </c>
      <c r="F13" s="28" t="n">
        <f aca="false">'Revenue Build'!F15*(F11+F12*(100/F5))</f>
        <v>8.02801641291437</v>
      </c>
      <c r="G13" s="28" t="n">
        <f aca="false">'Revenue Build'!G15*(G11+G12*(100/G5))</f>
        <v>15.7858554238497</v>
      </c>
      <c r="H13" s="28" t="n">
        <f aca="false">'Revenue Build'!H15*(H11+H12*(100/H5))</f>
        <v>19.8102816966179</v>
      </c>
      <c r="I13" s="28" t="n">
        <f aca="false">'Revenue Build'!I15*(I11+I12*(100/I5))</f>
        <v>19.5199714990532</v>
      </c>
      <c r="J13" s="28" t="n">
        <f aca="false">'Revenue Build'!J15*(J11+J12*(100/J5))</f>
        <v>19.2547182512261</v>
      </c>
      <c r="K13" s="28" t="n">
        <f aca="false">'Revenue Build'!K15*(K11+K12*(100/K5))</f>
        <v>19.0132995695624</v>
      </c>
      <c r="L13" s="28" t="n">
        <f aca="false">'Revenue Build'!L15*(L11+L12*(100/L5))</f>
        <v>18.7945808520327</v>
      </c>
      <c r="M13" s="28" t="n">
        <f aca="false">'Revenue Build'!M15*(M11+M12*(100/M5))</f>
        <v>18.5975091140172</v>
      </c>
      <c r="N13" s="28" t="n">
        <f aca="false">'Revenue Build'!N15*(N11+N12*(100/N5))</f>
        <v>18.4211072798567</v>
      </c>
      <c r="O13" s="28" t="n">
        <f aca="false">'Revenue Build'!O15*(O11+O12*(100/O5))</f>
        <v>18.2644688962702</v>
      </c>
      <c r="P13" s="28" t="n">
        <f aca="false">'Revenue Build'!P15*(P11+P12*(100/P5))</f>
        <v>18.1267532363431</v>
      </c>
      <c r="Q13" s="28" t="n">
        <f aca="false">'Revenue Build'!Q15*(Q11+Q12*(100/Q5))</f>
        <v>18.0071807651283</v>
      </c>
      <c r="R13" s="28" t="n">
        <f aca="false">'Revenue Build'!R15*(R11+R12*(100/R5))</f>
        <v>17.9050289400638</v>
      </c>
      <c r="S13" s="28" t="n">
        <f aca="false">'Revenue Build'!S15*(S11+S12*(100/S5))</f>
        <v>17.8196283214096</v>
      </c>
      <c r="T13" s="28" t="n">
        <f aca="false">'Revenue Build'!T15*(T11+T12*(100/T5))</f>
        <v>17.7503589697596</v>
      </c>
      <c r="U13" s="28" t="n">
        <f aca="false">'Revenue Build'!U15*(U11+U12*(100/U5))</f>
        <v>17.6966471093933</v>
      </c>
      <c r="V13" s="28" t="n">
        <f aca="false">'Revenue Build'!V15*(V11+V12*(100/V5))</f>
        <v>17.6579620378203</v>
      </c>
      <c r="W13" s="28" t="n">
        <f aca="false">'Revenue Build'!W15*(W11+W12*(100/W5))</f>
        <v>17.6338132633345</v>
      </c>
    </row>
    <row r="14" customFormat="false" ht="15" hidden="false" customHeight="true" outlineLevel="0" collapsed="false">
      <c r="B14" s="5"/>
    </row>
    <row r="15" customFormat="false" ht="15" hidden="false" customHeight="true" outlineLevel="0" collapsed="false">
      <c r="A15" s="9"/>
      <c r="B15" s="10" t="s">
        <v>271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false" ht="15" hidden="false" customHeight="true" outlineLevel="0" collapsed="false">
      <c r="B16" s="5" t="s">
        <v>272</v>
      </c>
      <c r="D16" s="14" t="n">
        <v>0.35</v>
      </c>
      <c r="E16" s="14" t="n">
        <v>0.35</v>
      </c>
      <c r="F16" s="14" t="n">
        <v>0.35</v>
      </c>
      <c r="G16" s="14" t="n">
        <v>0.35</v>
      </c>
      <c r="H16" s="14" t="n">
        <v>0.35</v>
      </c>
      <c r="I16" s="14" t="n">
        <v>0.35</v>
      </c>
      <c r="J16" s="14" t="n">
        <v>0.35</v>
      </c>
      <c r="K16" s="14" t="n">
        <v>0.35</v>
      </c>
      <c r="L16" s="14" t="n">
        <v>0.35</v>
      </c>
      <c r="M16" s="14" t="n">
        <v>0.35</v>
      </c>
      <c r="N16" s="14" t="n">
        <v>0.35</v>
      </c>
      <c r="O16" s="14" t="n">
        <v>0.35</v>
      </c>
      <c r="P16" s="14" t="n">
        <v>0.35</v>
      </c>
      <c r="Q16" s="14" t="n">
        <v>0.35</v>
      </c>
      <c r="R16" s="14" t="n">
        <v>0.35</v>
      </c>
      <c r="S16" s="14" t="n">
        <v>0.35</v>
      </c>
      <c r="T16" s="14" t="n">
        <v>0.35</v>
      </c>
      <c r="U16" s="14" t="n">
        <v>0.35</v>
      </c>
      <c r="V16" s="14" t="n">
        <v>0.35</v>
      </c>
      <c r="W16" s="14" t="n">
        <v>0.35</v>
      </c>
    </row>
    <row r="17" customFormat="false" ht="15" hidden="false" customHeight="true" outlineLevel="0" collapsed="false">
      <c r="B17" s="5" t="s">
        <v>273</v>
      </c>
      <c r="D17" s="30" t="n">
        <f aca="false">1-D16</f>
        <v>0.65</v>
      </c>
      <c r="E17" s="30" t="n">
        <f aca="false">1-E16</f>
        <v>0.65</v>
      </c>
      <c r="F17" s="30" t="n">
        <f aca="false">1-F16</f>
        <v>0.65</v>
      </c>
      <c r="G17" s="30" t="n">
        <f aca="false">1-G16</f>
        <v>0.65</v>
      </c>
      <c r="H17" s="30" t="n">
        <f aca="false">1-H16</f>
        <v>0.65</v>
      </c>
      <c r="I17" s="30" t="n">
        <f aca="false">1-I16</f>
        <v>0.65</v>
      </c>
      <c r="J17" s="30" t="n">
        <f aca="false">1-J16</f>
        <v>0.65</v>
      </c>
      <c r="K17" s="30" t="n">
        <f aca="false">1-K16</f>
        <v>0.65</v>
      </c>
      <c r="L17" s="30" t="n">
        <f aca="false">1-L16</f>
        <v>0.65</v>
      </c>
      <c r="M17" s="30" t="n">
        <f aca="false">1-M16</f>
        <v>0.65</v>
      </c>
      <c r="N17" s="30" t="n">
        <f aca="false">1-N16</f>
        <v>0.65</v>
      </c>
      <c r="O17" s="30" t="n">
        <f aca="false">1-O16</f>
        <v>0.65</v>
      </c>
      <c r="P17" s="30" t="n">
        <f aca="false">1-P16</f>
        <v>0.65</v>
      </c>
      <c r="Q17" s="30" t="n">
        <f aca="false">1-Q16</f>
        <v>0.65</v>
      </c>
      <c r="R17" s="30" t="n">
        <f aca="false">1-R16</f>
        <v>0.65</v>
      </c>
      <c r="S17" s="30" t="n">
        <f aca="false">1-S16</f>
        <v>0.65</v>
      </c>
      <c r="T17" s="30" t="n">
        <f aca="false">1-T16</f>
        <v>0.65</v>
      </c>
      <c r="U17" s="30" t="n">
        <f aca="false">1-U16</f>
        <v>0.65</v>
      </c>
      <c r="V17" s="30" t="n">
        <f aca="false">1-V16</f>
        <v>0.65</v>
      </c>
      <c r="W17" s="30" t="n">
        <f aca="false">1-W16</f>
        <v>0.65</v>
      </c>
    </row>
    <row r="18" customFormat="false" ht="15" hidden="false" customHeight="true" outlineLevel="0" collapsed="false">
      <c r="B18" s="5" t="s">
        <v>274</v>
      </c>
      <c r="D18" s="30" t="n">
        <f aca="false">MIN(D12,D17)</f>
        <v>0.4</v>
      </c>
      <c r="E18" s="30" t="n">
        <f aca="false">MIN(E12,E17)</f>
        <v>0.4</v>
      </c>
      <c r="F18" s="30" t="n">
        <f aca="false">MIN(F12,F17)</f>
        <v>0.4</v>
      </c>
      <c r="G18" s="30" t="n">
        <f aca="false">MIN(G12,G17)</f>
        <v>0.4</v>
      </c>
      <c r="H18" s="30" t="n">
        <f aca="false">MIN(H12,H17)</f>
        <v>0.4</v>
      </c>
      <c r="I18" s="30" t="n">
        <f aca="false">MIN(I12,I17)</f>
        <v>0.4</v>
      </c>
      <c r="J18" s="30" t="n">
        <f aca="false">MIN(J12,J17)</f>
        <v>0.4</v>
      </c>
      <c r="K18" s="30" t="n">
        <f aca="false">MIN(K12,K17)</f>
        <v>0.4</v>
      </c>
      <c r="L18" s="30" t="n">
        <f aca="false">MIN(L12,L17)</f>
        <v>0.4</v>
      </c>
      <c r="M18" s="30" t="n">
        <f aca="false">MIN(M12,M17)</f>
        <v>0.4</v>
      </c>
      <c r="N18" s="30" t="n">
        <f aca="false">MIN(N12,N17)</f>
        <v>0.4</v>
      </c>
      <c r="O18" s="30" t="n">
        <f aca="false">MIN(O12,O17)</f>
        <v>0.4</v>
      </c>
      <c r="P18" s="30" t="n">
        <f aca="false">MIN(P12,P17)</f>
        <v>0.4</v>
      </c>
      <c r="Q18" s="30" t="n">
        <f aca="false">MIN(Q12,Q17)</f>
        <v>0.4</v>
      </c>
      <c r="R18" s="30" t="n">
        <f aca="false">MIN(R12,R17)</f>
        <v>0.4</v>
      </c>
      <c r="S18" s="30" t="n">
        <f aca="false">MIN(S12,S17)</f>
        <v>0.4</v>
      </c>
      <c r="T18" s="30" t="n">
        <f aca="false">MIN(T12,T17)</f>
        <v>0.4</v>
      </c>
      <c r="U18" s="30" t="n">
        <f aca="false">MIN(U12,U17)</f>
        <v>0.4</v>
      </c>
      <c r="V18" s="30" t="n">
        <f aca="false">MIN(V12,V17)</f>
        <v>0.4</v>
      </c>
      <c r="W18" s="30" t="n">
        <f aca="false">MIN(W12,W17)</f>
        <v>0.4</v>
      </c>
    </row>
    <row r="19" customFormat="false" ht="15" hidden="false" customHeight="true" outlineLevel="0" collapsed="false">
      <c r="B19" s="5"/>
    </row>
    <row r="20" customFormat="false" ht="15" hidden="false" customHeight="true" outlineLevel="0" collapsed="false">
      <c r="A20" s="9"/>
      <c r="B20" s="10" t="s">
        <v>275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customFormat="false" ht="15" hidden="false" customHeight="true" outlineLevel="0" collapsed="false">
      <c r="B21" s="5" t="s">
        <v>276</v>
      </c>
      <c r="D21" s="16" t="n">
        <v>0.01</v>
      </c>
      <c r="E21" s="16" t="n">
        <v>0.01</v>
      </c>
      <c r="F21" s="16" t="n">
        <v>0.01</v>
      </c>
      <c r="G21" s="16" t="n">
        <v>0.01</v>
      </c>
      <c r="H21" s="16" t="n">
        <v>0.01</v>
      </c>
      <c r="I21" s="16" t="n">
        <v>0.01</v>
      </c>
      <c r="J21" s="16" t="n">
        <v>0.01</v>
      </c>
      <c r="K21" s="16" t="n">
        <v>0.01</v>
      </c>
      <c r="L21" s="16" t="n">
        <v>0.01</v>
      </c>
      <c r="M21" s="16" t="n">
        <v>0.01</v>
      </c>
      <c r="N21" s="16" t="n">
        <v>0.01</v>
      </c>
      <c r="O21" s="16" t="n">
        <v>0.01</v>
      </c>
      <c r="P21" s="16" t="n">
        <v>0.01</v>
      </c>
      <c r="Q21" s="16" t="n">
        <v>0.01</v>
      </c>
      <c r="R21" s="16" t="n">
        <v>0.01</v>
      </c>
      <c r="S21" s="16" t="n">
        <v>0.01</v>
      </c>
      <c r="T21" s="16" t="n">
        <v>0.01</v>
      </c>
      <c r="U21" s="16" t="n">
        <v>0.01</v>
      </c>
      <c r="V21" s="16" t="n">
        <v>0.01</v>
      </c>
      <c r="W21" s="16" t="n">
        <v>0.01</v>
      </c>
    </row>
    <row r="22" customFormat="false" ht="15" hidden="false" customHeight="true" outlineLevel="0" collapsed="false">
      <c r="B22" s="5" t="s">
        <v>277</v>
      </c>
      <c r="D22" s="21" t="n">
        <f aca="false">'Revenue Build'!D15*0.005</f>
        <v>0</v>
      </c>
      <c r="E22" s="21" t="n">
        <f aca="false">'Revenue Build'!E15*0.005</f>
        <v>0</v>
      </c>
      <c r="F22" s="21" t="n">
        <f aca="false">'Revenue Build'!F15*0.005</f>
        <v>0.0416904761904762</v>
      </c>
      <c r="G22" s="21" t="n">
        <f aca="false">'Revenue Build'!G15*0.005</f>
        <v>0.0834757823129251</v>
      </c>
      <c r="H22" s="21" t="n">
        <f aca="false">'Revenue Build'!H15*0.005</f>
        <v>0.106612243236152</v>
      </c>
      <c r="I22" s="21" t="n">
        <f aca="false">'Revenue Build'!I15*0.005</f>
        <v>0.106852133915119</v>
      </c>
      <c r="J22" s="21" t="n">
        <f aca="false">'Revenue Build'!J15*0.005</f>
        <v>0.107150889670115</v>
      </c>
      <c r="K22" s="21" t="n">
        <f aca="false">'Revenue Build'!K15*0.005</f>
        <v>0.107508143023735</v>
      </c>
      <c r="L22" s="21" t="n">
        <f aca="false">'Revenue Build'!L15*0.005</f>
        <v>0.107923563285563</v>
      </c>
      <c r="M22" s="21" t="n">
        <f aca="false">'Revenue Build'!M15*0.005</f>
        <v>0.108396856026876</v>
      </c>
      <c r="N22" s="21" t="n">
        <f aca="false">'Revenue Build'!N15*0.005</f>
        <v>0.108927762580854</v>
      </c>
      <c r="O22" s="21" t="n">
        <f aca="false">'Revenue Build'!O15*0.005</f>
        <v>0.109516059567814</v>
      </c>
      <c r="P22" s="21" t="n">
        <f aca="false">'Revenue Build'!P15*0.005</f>
        <v>0.110161558444931</v>
      </c>
      <c r="Q22" s="21" t="n">
        <f aca="false">'Revenue Build'!Q15*0.005</f>
        <v>0.110864105079998</v>
      </c>
      <c r="R22" s="21" t="n">
        <f aca="false">'Revenue Build'!R15*0.005</f>
        <v>0.111623579348733</v>
      </c>
      <c r="S22" s="21" t="n">
        <f aca="false">'Revenue Build'!S15*0.005</f>
        <v>0.11243989475521</v>
      </c>
      <c r="T22" s="21" t="n">
        <f aca="false">'Revenue Build'!T15*0.005</f>
        <v>0.113312998074974</v>
      </c>
      <c r="U22" s="21" t="n">
        <f aca="false">'Revenue Build'!U15*0.005</f>
        <v>0.114242869020428</v>
      </c>
      <c r="V22" s="21" t="n">
        <f aca="false">'Revenue Build'!V15*0.005</f>
        <v>0.115229519928107</v>
      </c>
      <c r="W22" s="21" t="n">
        <f aca="false">'Revenue Build'!W15*0.005</f>
        <v>0.116272995467446</v>
      </c>
    </row>
    <row r="23" customFormat="false" ht="15" hidden="false" customHeight="true" outlineLevel="0" collapsed="false">
      <c r="B23" s="5" t="s">
        <v>278</v>
      </c>
      <c r="D23" s="28" t="n">
        <f aca="false">'Cash Flow Waterfall'!D30*0.02</f>
        <v>-0.4569327</v>
      </c>
      <c r="E23" s="28" t="n">
        <f aca="false">'Cash Flow Waterfall'!E30*0.02</f>
        <v>-0.8571501</v>
      </c>
      <c r="F23" s="28" t="n">
        <f aca="false">'Cash Flow Waterfall'!F30*0.02</f>
        <v>-1.67954290174187</v>
      </c>
      <c r="G23" s="28" t="n">
        <f aca="false">'Cash Flow Waterfall'!G30*0.02</f>
        <v>-0.0262830236204251</v>
      </c>
      <c r="H23" s="28" t="n">
        <f aca="false">'Cash Flow Waterfall'!H30*0.02</f>
        <v>0.0164882580791078</v>
      </c>
      <c r="I23" s="28" t="n">
        <f aca="false">'Cash Flow Waterfall'!I30*0.02</f>
        <v>0.188111996600039</v>
      </c>
      <c r="J23" s="28" t="n">
        <f aca="false">'Cash Flow Waterfall'!J30*0.02</f>
        <v>0.200533653268911</v>
      </c>
      <c r="K23" s="28" t="n">
        <f aca="false">'Cash Flow Waterfall'!K30*0.02</f>
        <v>-0.0944626283923695</v>
      </c>
      <c r="L23" s="28" t="n">
        <f aca="false">'Cash Flow Waterfall'!L30*0.02</f>
        <v>-0.0572638129849568</v>
      </c>
      <c r="M23" s="28" t="n">
        <f aca="false">'Cash Flow Waterfall'!M30*0.02</f>
        <v>-0.0212701572649882</v>
      </c>
      <c r="N23" s="28" t="n">
        <f aca="false">'Cash Flow Waterfall'!N30*0.02</f>
        <v>0.00933779372327454</v>
      </c>
      <c r="O23" s="28" t="n">
        <f aca="false">'Cash Flow Waterfall'!O30*0.02</f>
        <v>0.0324653798606454</v>
      </c>
      <c r="P23" s="28" t="n">
        <f aca="false">'Cash Flow Waterfall'!P30*0.02</f>
        <v>0.0543569900954894</v>
      </c>
      <c r="Q23" s="28" t="n">
        <f aca="false">'Cash Flow Waterfall'!Q30*0.02</f>
        <v>0.776165553254813</v>
      </c>
      <c r="R23" s="28" t="n">
        <f aca="false">'Cash Flow Waterfall'!R30*0.02</f>
        <v>0.732893206295081</v>
      </c>
      <c r="S23" s="28" t="n">
        <f aca="false">'Cash Flow Waterfall'!S30*0.02</f>
        <v>0.68793485231127</v>
      </c>
      <c r="T23" s="28" t="n">
        <f aca="false">'Cash Flow Waterfall'!T30*0.02</f>
        <v>0.641125654085829</v>
      </c>
      <c r="U23" s="28" t="n">
        <f aca="false">'Cash Flow Waterfall'!U30*0.02</f>
        <v>0.592292561697801</v>
      </c>
      <c r="V23" s="28" t="n">
        <f aca="false">'Cash Flow Waterfall'!V30*0.02</f>
        <v>0.541253792625439</v>
      </c>
      <c r="W23" s="28" t="n">
        <f aca="false">'Cash Flow Waterfall'!W30*0.02</f>
        <v>0.487818282683536</v>
      </c>
    </row>
    <row r="24" customFormat="false" ht="15" hidden="false" customHeight="true" outlineLevel="0" collapsed="false">
      <c r="B24" s="5" t="s">
        <v>279</v>
      </c>
      <c r="D24" s="21" t="n">
        <f aca="false">'Revenue Build'!D15*(1-D11)*0.02</f>
        <v>0</v>
      </c>
      <c r="E24" s="21" t="n">
        <f aca="false">'Revenue Build'!E15*(1-E11)*0.02</f>
        <v>0</v>
      </c>
      <c r="F24" s="21" t="n">
        <f aca="false">'Revenue Build'!F15*(1-F11)*0.02</f>
        <v>0.0667047619047619</v>
      </c>
      <c r="G24" s="21" t="n">
        <f aca="false">'Revenue Build'!G15*(1-G11)*0.02</f>
        <v>0.13356125170068</v>
      </c>
      <c r="H24" s="21" t="n">
        <f aca="false">'Revenue Build'!H15*(1-H11)*0.02</f>
        <v>0.170579589177843</v>
      </c>
      <c r="I24" s="21" t="n">
        <f aca="false">'Revenue Build'!I15*(1-I11)*0.02</f>
        <v>0.17096341426419</v>
      </c>
      <c r="J24" s="21" t="n">
        <f aca="false">'Revenue Build'!J15*(1-J11)*0.02</f>
        <v>0.171441423472185</v>
      </c>
      <c r="K24" s="21" t="n">
        <f aca="false">'Revenue Build'!K15*(1-K11)*0.02</f>
        <v>0.172013028837976</v>
      </c>
      <c r="L24" s="21" t="n">
        <f aca="false">'Revenue Build'!L15*(1-L11)*0.02</f>
        <v>0.172677701256902</v>
      </c>
      <c r="M24" s="21" t="n">
        <f aca="false">'Revenue Build'!M15*(1-M11)*0.02</f>
        <v>0.173434969643001</v>
      </c>
      <c r="N24" s="21" t="n">
        <f aca="false">'Revenue Build'!N15*(1-N11)*0.02</f>
        <v>0.174284420129367</v>
      </c>
      <c r="O24" s="21" t="n">
        <f aca="false">'Revenue Build'!O15*(1-O11)*0.02</f>
        <v>0.175225695308502</v>
      </c>
      <c r="P24" s="21" t="n">
        <f aca="false">'Revenue Build'!P15*(1-P11)*0.02</f>
        <v>0.17625849351189</v>
      </c>
      <c r="Q24" s="21" t="n">
        <f aca="false">'Revenue Build'!Q15*(1-Q11)*0.02</f>
        <v>0.177382568127997</v>
      </c>
      <c r="R24" s="21" t="n">
        <f aca="false">'Revenue Build'!R15*(1-R11)*0.02</f>
        <v>0.178597726957973</v>
      </c>
      <c r="S24" s="21" t="n">
        <f aca="false">'Revenue Build'!S15*(1-S11)*0.02</f>
        <v>0.179903831608336</v>
      </c>
      <c r="T24" s="21" t="n">
        <f aca="false">'Revenue Build'!T15*(1-T11)*0.02</f>
        <v>0.181300796919958</v>
      </c>
      <c r="U24" s="21" t="n">
        <f aca="false">'Revenue Build'!U15*(1-U11)*0.02</f>
        <v>0.182788590432685</v>
      </c>
      <c r="V24" s="21" t="n">
        <f aca="false">'Revenue Build'!V15*(1-V11)*0.02</f>
        <v>0.184367231884972</v>
      </c>
      <c r="W24" s="21" t="n">
        <f aca="false">'Revenue Build'!W15*(1-W11)*0.02</f>
        <v>0.186036792747914</v>
      </c>
    </row>
    <row r="25" customFormat="false" ht="15" hidden="false" customHeight="true" outlineLevel="0" collapsed="false">
      <c r="B25" s="5" t="s">
        <v>280</v>
      </c>
      <c r="D25" s="23" t="n">
        <f aca="false">D21+D22+D23+D24</f>
        <v>-0.4469327</v>
      </c>
      <c r="E25" s="23" t="n">
        <f aca="false">E21+E22+E23+E24</f>
        <v>-0.8471501</v>
      </c>
      <c r="F25" s="23" t="n">
        <f aca="false">F21+F22+F23+F24</f>
        <v>-1.56114766364663</v>
      </c>
      <c r="G25" s="23" t="n">
        <f aca="false">G21+G22+G23+G24</f>
        <v>0.20075401039318</v>
      </c>
      <c r="H25" s="23" t="n">
        <f aca="false">H21+H22+H23+H24</f>
        <v>0.303680090493102</v>
      </c>
      <c r="I25" s="23" t="n">
        <f aca="false">I21+I22+I23+I24</f>
        <v>0.475927544779347</v>
      </c>
      <c r="J25" s="23" t="n">
        <f aca="false">J21+J22+J23+J24</f>
        <v>0.48912596641121</v>
      </c>
      <c r="K25" s="23" t="n">
        <f aca="false">K21+K22+K23+K24</f>
        <v>0.195058543469341</v>
      </c>
      <c r="L25" s="23" t="n">
        <f aca="false">L21+L22+L23+L24</f>
        <v>0.233337451557508</v>
      </c>
      <c r="M25" s="23" t="n">
        <f aca="false">M21+M22+M23+M24</f>
        <v>0.270561668404889</v>
      </c>
      <c r="N25" s="23" t="n">
        <f aca="false">N21+N22+N23+N24</f>
        <v>0.302549976433495</v>
      </c>
      <c r="O25" s="23" t="n">
        <f aca="false">O21+O22+O23+O24</f>
        <v>0.327207134736961</v>
      </c>
      <c r="P25" s="23" t="n">
        <f aca="false">P21+P22+P23+P24</f>
        <v>0.350777042052311</v>
      </c>
      <c r="Q25" s="23" t="n">
        <f aca="false">Q21+Q22+Q23+Q24</f>
        <v>1.07441222646281</v>
      </c>
      <c r="R25" s="23" t="n">
        <f aca="false">R21+R22+R23+R24</f>
        <v>1.03311451260179</v>
      </c>
      <c r="S25" s="23" t="n">
        <f aca="false">S21+S22+S23+S24</f>
        <v>0.990278578674816</v>
      </c>
      <c r="T25" s="23" t="n">
        <f aca="false">T21+T22+T23+T24</f>
        <v>0.945739449080761</v>
      </c>
      <c r="U25" s="23" t="n">
        <f aca="false">U21+U22+U23+U24</f>
        <v>0.899324021150914</v>
      </c>
      <c r="V25" s="23" t="n">
        <f aca="false">V21+V22+V23+V24</f>
        <v>0.850850544438517</v>
      </c>
      <c r="W25" s="23" t="n">
        <f aca="false">W21+W22+W23+W24</f>
        <v>0.800128070898896</v>
      </c>
    </row>
    <row r="26" customFormat="false" ht="15" hidden="false" customHeight="true" outlineLevel="0" collapsed="false">
      <c r="B26" s="5"/>
    </row>
    <row r="27" customFormat="false" ht="15" hidden="false" customHeight="true" outlineLevel="0" collapsed="false">
      <c r="A27" s="9"/>
      <c r="B27" s="10" t="s">
        <v>281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customFormat="false" ht="15" hidden="false" customHeight="true" outlineLevel="0" collapsed="false">
      <c r="B28" s="5" t="s">
        <v>282</v>
      </c>
      <c r="D28" s="21" t="n">
        <f aca="false">'Revenue Build'!D15*D12*(1-100/D5)</f>
        <v>0</v>
      </c>
      <c r="E28" s="21" t="n">
        <f aca="false">'Revenue Build'!E15*E12*(1-100/E5)</f>
        <v>0</v>
      </c>
      <c r="F28" s="21" t="n">
        <f aca="false">'Revenue Build'!F15*F12*(1-100/F5)</f>
        <v>0.310078825180866</v>
      </c>
      <c r="G28" s="21" t="n">
        <f aca="false">'Revenue Build'!G15*G12*(1-100/G5)</f>
        <v>0.90930103873533</v>
      </c>
      <c r="H28" s="21" t="n">
        <f aca="false">'Revenue Build'!H15*H12*(1-100/H5)</f>
        <v>1.51216695061245</v>
      </c>
      <c r="I28" s="21" t="n">
        <f aca="false">'Revenue Build'!I15*I12*(1-100/I5)</f>
        <v>1.85045528397051</v>
      </c>
      <c r="J28" s="21" t="n">
        <f aca="false">'Revenue Build'!J15*J12*(1-100/J5)</f>
        <v>2.17545968279702</v>
      </c>
      <c r="K28" s="21" t="n">
        <f aca="false">'Revenue Build'!K15*K12*(1-100/K5)</f>
        <v>2.48832903518461</v>
      </c>
      <c r="L28" s="21" t="n">
        <f aca="false">'Revenue Build'!L15*L12*(1-100/L5)</f>
        <v>2.79013180508001</v>
      </c>
      <c r="M28" s="21" t="n">
        <f aca="false">'Revenue Build'!M15*M12*(1-100/M5)</f>
        <v>3.08186209135798</v>
      </c>
      <c r="N28" s="21" t="n">
        <f aca="false">'Revenue Build'!N15*N12*(1-100/N5)</f>
        <v>3.36444523631413</v>
      </c>
      <c r="O28" s="21" t="n">
        <f aca="false">'Revenue Build'!O15*O12*(1-100/O5)</f>
        <v>3.63874301729252</v>
      </c>
      <c r="P28" s="21" t="n">
        <f aca="false">'Revenue Build'!P15*P12*(1-100/P5)</f>
        <v>3.90555845264316</v>
      </c>
      <c r="Q28" s="21" t="n">
        <f aca="false">'Revenue Build'!Q15*Q12*(1-100/Q5)</f>
        <v>4.16564025087134</v>
      </c>
      <c r="R28" s="21" t="n">
        <f aca="false">'Revenue Build'!R15*R12*(1-100/R5)</f>
        <v>4.41968692968285</v>
      </c>
      <c r="S28" s="21" t="n">
        <f aca="false">'Revenue Build'!S15*S12*(1-100/S5)</f>
        <v>4.66835062963239</v>
      </c>
      <c r="T28" s="21" t="n">
        <f aca="false">'Revenue Build'!T15*T12*(1-100/T5)</f>
        <v>4.91224064523512</v>
      </c>
      <c r="U28" s="21" t="n">
        <f aca="false">'Revenue Build'!U15*U12*(1-100/U5)</f>
        <v>5.15192669469235</v>
      </c>
      <c r="V28" s="21" t="n">
        <f aca="false">'Revenue Build'!V15*V12*(1-100/V5)</f>
        <v>5.38794194780116</v>
      </c>
      <c r="W28" s="21" t="n">
        <f aca="false">'Revenue Build'!W15*W12*(1-100/W5)</f>
        <v>5.62078583015479</v>
      </c>
    </row>
    <row r="29" customFormat="false" ht="15" hidden="false" customHeight="true" outlineLevel="0" collapsed="false">
      <c r="B29" s="5" t="s">
        <v>283</v>
      </c>
      <c r="D29" s="21" t="n">
        <f aca="false">D28*(1-D18)</f>
        <v>0</v>
      </c>
      <c r="E29" s="21" t="n">
        <f aca="false">E28*(1-E18)</f>
        <v>0</v>
      </c>
      <c r="F29" s="21" t="n">
        <f aca="false">F28*(1-F18)</f>
        <v>0.186047295108519</v>
      </c>
      <c r="G29" s="21" t="n">
        <f aca="false">G28*(1-G18)</f>
        <v>0.545580623241198</v>
      </c>
      <c r="H29" s="21" t="n">
        <f aca="false">H28*(1-H18)</f>
        <v>0.90730017036747</v>
      </c>
      <c r="I29" s="21" t="n">
        <f aca="false">I28*(1-I18)</f>
        <v>1.1102731703823</v>
      </c>
      <c r="J29" s="21" t="n">
        <f aca="false">J28*(1-J18)</f>
        <v>1.30527580967821</v>
      </c>
      <c r="K29" s="21" t="n">
        <f aca="false">K28*(1-K18)</f>
        <v>1.49299742111077</v>
      </c>
      <c r="L29" s="21" t="n">
        <f aca="false">L28*(1-L18)</f>
        <v>1.674079083048</v>
      </c>
      <c r="M29" s="21" t="n">
        <f aca="false">M28*(1-M18)</f>
        <v>1.84911725481479</v>
      </c>
      <c r="N29" s="21" t="n">
        <f aca="false">N28*(1-N18)</f>
        <v>2.01866714178848</v>
      </c>
      <c r="O29" s="21" t="n">
        <f aca="false">O28*(1-O18)</f>
        <v>2.18324581037551</v>
      </c>
      <c r="P29" s="21" t="n">
        <f aca="false">P28*(1-P18)</f>
        <v>2.3433350715859</v>
      </c>
      <c r="Q29" s="21" t="n">
        <f aca="false">Q28*(1-Q18)</f>
        <v>2.4993841505228</v>
      </c>
      <c r="R29" s="21" t="n">
        <f aca="false">R28*(1-R18)</f>
        <v>2.65181215780971</v>
      </c>
      <c r="S29" s="21" t="n">
        <f aca="false">S28*(1-S18)</f>
        <v>2.80101037777943</v>
      </c>
      <c r="T29" s="21" t="n">
        <f aca="false">T28*(1-T18)</f>
        <v>2.94734438714107</v>
      </c>
      <c r="U29" s="21" t="n">
        <f aca="false">U28*(1-U18)</f>
        <v>3.09115601681541</v>
      </c>
      <c r="V29" s="21" t="n">
        <f aca="false">V28*(1-V18)</f>
        <v>3.23276516868069</v>
      </c>
      <c r="W29" s="21" t="n">
        <f aca="false">W28*(1-W18)</f>
        <v>3.37247149809287</v>
      </c>
    </row>
    <row r="30" customFormat="false" ht="15" hidden="false" customHeight="true" outlineLevel="0" collapsed="false">
      <c r="B30" s="5" t="s">
        <v>284</v>
      </c>
      <c r="D30" s="21" t="n">
        <f aca="false">D29</f>
        <v>0</v>
      </c>
      <c r="E30" s="21" t="n">
        <f aca="false">D30+E29</f>
        <v>0</v>
      </c>
      <c r="F30" s="21" t="n">
        <f aca="false">E30+F29</f>
        <v>0.186047295108519</v>
      </c>
      <c r="G30" s="21" t="n">
        <f aca="false">F30+G29</f>
        <v>0.731627918349718</v>
      </c>
      <c r="H30" s="21" t="n">
        <f aca="false">G30+H29</f>
        <v>1.63892808871719</v>
      </c>
      <c r="I30" s="21" t="n">
        <f aca="false">H30+I29</f>
        <v>2.74920125909949</v>
      </c>
      <c r="J30" s="21" t="n">
        <f aca="false">I30+J29</f>
        <v>4.0544770687777</v>
      </c>
      <c r="K30" s="21" t="n">
        <f aca="false">J30+K29</f>
        <v>5.54747448988847</v>
      </c>
      <c r="L30" s="21" t="n">
        <f aca="false">K30+L29</f>
        <v>7.22155357293647</v>
      </c>
      <c r="M30" s="21" t="n">
        <f aca="false">L30+M29</f>
        <v>9.07067082775126</v>
      </c>
      <c r="N30" s="21" t="n">
        <f aca="false">M30+N29</f>
        <v>11.0893379695397</v>
      </c>
      <c r="O30" s="21" t="n">
        <f aca="false">N30+O29</f>
        <v>13.2725837799153</v>
      </c>
      <c r="P30" s="21" t="n">
        <f aca="false">O30+P29</f>
        <v>15.6159188515011</v>
      </c>
      <c r="Q30" s="21" t="n">
        <f aca="false">P30+Q29</f>
        <v>18.115303002024</v>
      </c>
      <c r="R30" s="21" t="n">
        <f aca="false">Q30+R29</f>
        <v>20.7671151598337</v>
      </c>
      <c r="S30" s="21" t="n">
        <f aca="false">R30+S29</f>
        <v>23.5681255376131</v>
      </c>
      <c r="T30" s="21" t="n">
        <f aca="false">S30+T29</f>
        <v>26.5154699247542</v>
      </c>
      <c r="U30" s="21" t="n">
        <f aca="false">T30+U29</f>
        <v>29.6066259415696</v>
      </c>
      <c r="V30" s="21" t="n">
        <f aca="false">U30+V29</f>
        <v>32.8393911102503</v>
      </c>
      <c r="W30" s="21" t="n">
        <f aca="false">V30+W29</f>
        <v>36.2118626083431</v>
      </c>
    </row>
  </sheetData>
  <mergeCells count="1">
    <mergeCell ref="B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6" min="3" style="1" width="18"/>
    <col collapsed="false" customWidth="true" hidden="false" outlineLevel="0" max="7" min="7" style="1" width="3"/>
  </cols>
  <sheetData>
    <row r="1" customFormat="false" ht="17.25" hidden="false" customHeight="true" outlineLevel="0" collapsed="false">
      <c r="B1" s="8" t="s">
        <v>285</v>
      </c>
      <c r="C1" s="8"/>
      <c r="D1" s="8"/>
      <c r="E1" s="8"/>
      <c r="F1" s="8"/>
    </row>
    <row r="3" customFormat="false" ht="15" hidden="false" customHeight="true" outlineLevel="0" collapsed="false">
      <c r="A3" s="9"/>
      <c r="B3" s="10" t="s">
        <v>286</v>
      </c>
      <c r="C3" s="9"/>
      <c r="D3" s="9"/>
      <c r="E3" s="9"/>
      <c r="F3" s="9"/>
    </row>
    <row r="4" customFormat="false" ht="15" hidden="false" customHeight="true" outlineLevel="0" collapsed="false">
      <c r="B4" s="13" t="s">
        <v>287</v>
      </c>
      <c r="C4" s="13" t="s">
        <v>56</v>
      </c>
      <c r="D4" s="13" t="s">
        <v>57</v>
      </c>
      <c r="E4" s="13" t="s">
        <v>58</v>
      </c>
      <c r="F4" s="13" t="s">
        <v>59</v>
      </c>
    </row>
    <row r="5" customFormat="false" ht="15" hidden="false" customHeight="true" outlineLevel="0" collapsed="false">
      <c r="B5" s="5" t="s">
        <v>288</v>
      </c>
      <c r="C5" s="12" t="s">
        <v>289</v>
      </c>
      <c r="D5" s="12" t="s">
        <v>289</v>
      </c>
      <c r="E5" s="12" t="s">
        <v>289</v>
      </c>
      <c r="F5" s="12" t="s">
        <v>61</v>
      </c>
    </row>
    <row r="6" customFormat="false" ht="15" hidden="false" customHeight="true" outlineLevel="0" collapsed="false">
      <c r="B6" s="5" t="s">
        <v>290</v>
      </c>
      <c r="C6" s="12" t="s">
        <v>291</v>
      </c>
      <c r="D6" s="12" t="s">
        <v>291</v>
      </c>
      <c r="E6" s="12" t="s">
        <v>291</v>
      </c>
      <c r="F6" s="12" t="s">
        <v>78</v>
      </c>
    </row>
    <row r="7" customFormat="false" ht="15" hidden="false" customHeight="true" outlineLevel="0" collapsed="false">
      <c r="B7" s="5" t="s">
        <v>292</v>
      </c>
      <c r="C7" s="12" t="s">
        <v>293</v>
      </c>
      <c r="D7" s="12" t="s">
        <v>293</v>
      </c>
      <c r="E7" s="12" t="s">
        <v>293</v>
      </c>
      <c r="F7" s="12" t="s">
        <v>108</v>
      </c>
    </row>
    <row r="8" customFormat="false" ht="15" hidden="false" customHeight="true" outlineLevel="0" collapsed="false">
      <c r="B8" s="5" t="s">
        <v>294</v>
      </c>
      <c r="C8" s="12" t="s">
        <v>295</v>
      </c>
      <c r="D8" s="12" t="s">
        <v>295</v>
      </c>
      <c r="E8" s="12" t="s">
        <v>295</v>
      </c>
      <c r="F8" s="12" t="s">
        <v>72</v>
      </c>
    </row>
    <row r="10" customFormat="false" ht="15" hidden="false" customHeight="true" outlineLevel="0" collapsed="false">
      <c r="A10" s="9"/>
      <c r="B10" s="10" t="s">
        <v>296</v>
      </c>
      <c r="C10" s="9"/>
      <c r="D10" s="9"/>
      <c r="E10" s="9"/>
      <c r="F10" s="9"/>
    </row>
    <row r="11" customFormat="false" ht="15" hidden="false" customHeight="true" outlineLevel="0" collapsed="false">
      <c r="B11" s="7" t="s">
        <v>126</v>
      </c>
      <c r="C11" s="7" t="s">
        <v>297</v>
      </c>
      <c r="D11" s="7" t="s">
        <v>298</v>
      </c>
      <c r="E11" s="7" t="s">
        <v>299</v>
      </c>
    </row>
    <row r="12" customFormat="false" ht="15" hidden="false" customHeight="true" outlineLevel="0" collapsed="false">
      <c r="B12" s="5" t="n">
        <v>0</v>
      </c>
      <c r="C12" s="28" t="n">
        <f aca="false">-'CAPEX Schedule'!C29</f>
        <v>-57.072</v>
      </c>
      <c r="D12" s="28" t="n">
        <f aca="false">-Assumptions!C33</f>
        <v>-15</v>
      </c>
      <c r="E12" s="28" t="n">
        <f aca="false">-Assumptions!C33</f>
        <v>-15</v>
      </c>
    </row>
    <row r="13" customFormat="false" ht="15" hidden="false" customHeight="true" outlineLevel="0" collapsed="false">
      <c r="B13" s="5" t="n">
        <v>1</v>
      </c>
      <c r="C13" s="28" t="n">
        <f aca="false">'Cash Flow Waterfall'!D14</f>
        <v>-0.85608</v>
      </c>
      <c r="D13" s="28" t="n">
        <f aca="false">'Cash Flow Waterfall'!D27</f>
        <v>-1.523109</v>
      </c>
      <c r="E13" s="28" t="n">
        <f aca="false">'Cash Flow Waterfall'!D30</f>
        <v>-22.846635</v>
      </c>
    </row>
    <row r="14" customFormat="false" ht="15" hidden="false" customHeight="true" outlineLevel="0" collapsed="false">
      <c r="B14" s="5" t="n">
        <v>2</v>
      </c>
      <c r="C14" s="28" t="n">
        <f aca="false">'Cash Flow Waterfall'!E14</f>
        <v>-0.85608</v>
      </c>
      <c r="D14" s="28" t="n">
        <f aca="false">'Cash Flow Waterfall'!E27</f>
        <v>-2.857167</v>
      </c>
      <c r="E14" s="28" t="n">
        <f aca="false">'Cash Flow Waterfall'!E30</f>
        <v>-42.857505</v>
      </c>
    </row>
    <row r="15" customFormat="false" ht="15" hidden="false" customHeight="true" outlineLevel="0" collapsed="false">
      <c r="B15" s="5" t="n">
        <v>3</v>
      </c>
      <c r="C15" s="28" t="n">
        <f aca="false">'Cash Flow Waterfall'!F14</f>
        <v>-2.93036033913957</v>
      </c>
      <c r="D15" s="28" t="n">
        <f aca="false">'Cash Flow Waterfall'!F27</f>
        <v>-5.59847633913957</v>
      </c>
      <c r="E15" s="28" t="n">
        <f aca="false">'Cash Flow Waterfall'!F30</f>
        <v>-83.9771450870935</v>
      </c>
    </row>
    <row r="16" customFormat="false" ht="15" hidden="false" customHeight="true" outlineLevel="0" collapsed="false">
      <c r="B16" s="5" t="n">
        <v>4</v>
      </c>
      <c r="C16" s="28" t="n">
        <f aca="false">'Cash Flow Waterfall'!G14</f>
        <v>2.58050592126525</v>
      </c>
      <c r="D16" s="28" t="n">
        <f aca="false">'Cash Flow Waterfall'!G27</f>
        <v>-0.0876100787347505</v>
      </c>
      <c r="E16" s="28" t="n">
        <f aca="false">'Cash Flow Waterfall'!G30</f>
        <v>-1.31415118102126</v>
      </c>
    </row>
    <row r="17" customFormat="false" ht="15" hidden="false" customHeight="true" outlineLevel="0" collapsed="false">
      <c r="B17" s="5" t="n">
        <v>5</v>
      </c>
      <c r="C17" s="28" t="n">
        <f aca="false">'Cash Flow Waterfall'!H14</f>
        <v>6.08613618132909</v>
      </c>
      <c r="D17" s="28" t="n">
        <f aca="false">'Cash Flow Waterfall'!H27</f>
        <v>0.0549608602636925</v>
      </c>
      <c r="E17" s="28" t="n">
        <f aca="false">'Cash Flow Waterfall'!H30</f>
        <v>0.824412903955388</v>
      </c>
    </row>
    <row r="18" customFormat="false" ht="15" hidden="false" customHeight="true" outlineLevel="0" collapsed="false">
      <c r="B18" s="5" t="n">
        <v>6</v>
      </c>
      <c r="C18" s="28" t="n">
        <f aca="false">'Cash Flow Waterfall'!I14</f>
        <v>6.60693474571447</v>
      </c>
      <c r="D18" s="28" t="n">
        <f aca="false">'Cash Flow Waterfall'!I27</f>
        <v>0.627039988666796</v>
      </c>
      <c r="E18" s="28" t="n">
        <f aca="false">'Cash Flow Waterfall'!I30</f>
        <v>9.40559983000194</v>
      </c>
    </row>
    <row r="19" customFormat="false" ht="15" hidden="false" customHeight="true" outlineLevel="0" collapsed="false">
      <c r="B19" s="5" t="n">
        <v>7</v>
      </c>
      <c r="C19" s="28" t="n">
        <f aca="false">'Cash Flow Waterfall'!J14</f>
        <v>6.36962815842338</v>
      </c>
      <c r="D19" s="28" t="n">
        <f aca="false">'Cash Flow Waterfall'!J27</f>
        <v>0.668445510896369</v>
      </c>
      <c r="E19" s="28" t="n">
        <f aca="false">'Cash Flow Waterfall'!J30</f>
        <v>10.0266826634455</v>
      </c>
    </row>
    <row r="20" customFormat="false" ht="15" hidden="false" customHeight="true" outlineLevel="0" collapsed="false">
      <c r="B20" s="5" t="n">
        <v>8</v>
      </c>
      <c r="C20" s="28" t="n">
        <f aca="false">'Cash Flow Waterfall'!K14</f>
        <v>4.8033732386921</v>
      </c>
      <c r="D20" s="28" t="n">
        <f aca="false">'Cash Flow Waterfall'!K27</f>
        <v>-0.314875427974565</v>
      </c>
      <c r="E20" s="28" t="n">
        <f aca="false">'Cash Flow Waterfall'!K30</f>
        <v>-4.72313141961847</v>
      </c>
    </row>
    <row r="21" customFormat="false" ht="15" hidden="false" customHeight="true" outlineLevel="0" collapsed="false">
      <c r="B21" s="5" t="n">
        <v>9</v>
      </c>
      <c r="C21" s="28" t="n">
        <f aca="false">'Cash Flow Waterfall'!L14</f>
        <v>4.63091195671681</v>
      </c>
      <c r="D21" s="28" t="n">
        <f aca="false">'Cash Flow Waterfall'!L27</f>
        <v>-0.190879376616523</v>
      </c>
      <c r="E21" s="28" t="n">
        <f aca="false">'Cash Flow Waterfall'!L30</f>
        <v>-2.86319064924784</v>
      </c>
    </row>
    <row r="22" customFormat="false" ht="15" hidden="false" customHeight="true" outlineLevel="0" collapsed="false">
      <c r="B22" s="5" t="n">
        <v>10</v>
      </c>
      <c r="C22" s="28" t="n">
        <f aca="false">'Cash Flow Waterfall'!M14</f>
        <v>4.45443347578337</v>
      </c>
      <c r="D22" s="28" t="n">
        <f aca="false">'Cash Flow Waterfall'!M27</f>
        <v>-0.0709005242166274</v>
      </c>
      <c r="E22" s="28" t="n">
        <f aca="false">'Cash Flow Waterfall'!M30</f>
        <v>-1.06350786324941</v>
      </c>
    </row>
    <row r="23" customFormat="false" ht="15" hidden="false" customHeight="true" outlineLevel="0" collapsed="false">
      <c r="B23" s="5" t="n">
        <v>11</v>
      </c>
      <c r="C23" s="28" t="n">
        <f aca="false">'Cash Flow Waterfall'!N14</f>
        <v>4.27334235106321</v>
      </c>
      <c r="D23" s="28" t="n">
        <f aca="false">'Cash Flow Waterfall'!N27</f>
        <v>0.0311259790775818</v>
      </c>
      <c r="E23" s="28" t="n">
        <f aca="false">'Cash Flow Waterfall'!N30</f>
        <v>0.466889686163727</v>
      </c>
    </row>
    <row r="24" customFormat="false" ht="15" hidden="false" customHeight="true" outlineLevel="0" collapsed="false">
      <c r="B24" s="5" t="n">
        <v>12</v>
      </c>
      <c r="C24" s="28" t="n">
        <f aca="false">'Cash Flow Waterfall'!O14</f>
        <v>4.08701638028879</v>
      </c>
      <c r="D24" s="28" t="n">
        <f aca="false">'Cash Flow Waterfall'!O27</f>
        <v>0.108217932868818</v>
      </c>
      <c r="E24" s="28" t="n">
        <f aca="false">'Cash Flow Waterfall'!O30</f>
        <v>1.62326899303227</v>
      </c>
    </row>
    <row r="25" customFormat="false" ht="15" hidden="false" customHeight="true" outlineLevel="0" collapsed="false">
      <c r="B25" s="5" t="n">
        <v>13</v>
      </c>
      <c r="C25" s="28" t="n">
        <f aca="false">'Cash Flow Waterfall'!P14</f>
        <v>3.89480480997852</v>
      </c>
      <c r="D25" s="28" t="n">
        <f aca="false">'Cash Flow Waterfall'!P27</f>
        <v>0.181189966984965</v>
      </c>
      <c r="E25" s="28" t="n">
        <f aca="false">'Cash Flow Waterfall'!P30</f>
        <v>2.71784950477447</v>
      </c>
    </row>
    <row r="26" customFormat="false" ht="15" hidden="false" customHeight="true" outlineLevel="0" collapsed="false">
      <c r="B26" s="5" t="n">
        <v>14</v>
      </c>
      <c r="C26" s="28" t="n">
        <f aca="false">'Cash Flow Waterfall'!Q14</f>
        <v>3.69602644407054</v>
      </c>
      <c r="D26" s="28" t="n">
        <f aca="false">'Cash Flow Waterfall'!Q27</f>
        <v>2.58721851084938</v>
      </c>
      <c r="E26" s="28" t="n">
        <f aca="false">'Cash Flow Waterfall'!Q30</f>
        <v>38.8082776627406</v>
      </c>
    </row>
    <row r="27" customFormat="false" ht="15" hidden="false" customHeight="true" outlineLevel="0" collapsed="false">
      <c r="B27" s="5" t="n">
        <v>15</v>
      </c>
      <c r="C27" s="28" t="n">
        <f aca="false">'Cash Flow Waterfall'!R14</f>
        <v>3.48996764902419</v>
      </c>
      <c r="D27" s="28" t="n">
        <f aca="false">'Cash Flow Waterfall'!R27</f>
        <v>2.44297735431694</v>
      </c>
      <c r="E27" s="28" t="n">
        <f aca="false">'Cash Flow Waterfall'!R30</f>
        <v>36.644660314754</v>
      </c>
    </row>
    <row r="28" customFormat="false" ht="15" hidden="false" customHeight="true" outlineLevel="0" collapsed="false">
      <c r="B28" s="5" t="n">
        <v>16</v>
      </c>
      <c r="C28" s="28" t="n">
        <f aca="false">'Cash Flow Waterfall'!S14</f>
        <v>3.27588024910128</v>
      </c>
      <c r="D28" s="28" t="n">
        <f aca="false">'Cash Flow Waterfall'!S27</f>
        <v>2.2931161743709</v>
      </c>
      <c r="E28" s="28" t="n">
        <f aca="false">'Cash Flow Waterfall'!S30</f>
        <v>34.3967426155635</v>
      </c>
    </row>
    <row r="29" customFormat="false" ht="15" hidden="false" customHeight="true" outlineLevel="0" collapsed="false">
      <c r="B29" s="5" t="n">
        <v>17</v>
      </c>
      <c r="C29" s="28" t="n">
        <f aca="false">'Cash Flow Waterfall'!T14</f>
        <v>3.05297930517062</v>
      </c>
      <c r="D29" s="28" t="n">
        <f aca="false">'Cash Flow Waterfall'!T27</f>
        <v>2.13708551361943</v>
      </c>
      <c r="E29" s="28" t="n">
        <f aca="false">'Cash Flow Waterfall'!T30</f>
        <v>32.0562827042915</v>
      </c>
    </row>
    <row r="30" customFormat="false" ht="15" hidden="false" customHeight="true" outlineLevel="0" collapsed="false">
      <c r="B30" s="5" t="n">
        <v>18</v>
      </c>
      <c r="C30" s="28" t="n">
        <f aca="false">'Cash Flow Waterfall'!U14</f>
        <v>2.82044076998953</v>
      </c>
      <c r="D30" s="28" t="n">
        <f aca="false">'Cash Flow Waterfall'!U27</f>
        <v>1.97430853899267</v>
      </c>
      <c r="E30" s="28" t="n">
        <f aca="false">'Cash Flow Waterfall'!U30</f>
        <v>29.61462808489</v>
      </c>
    </row>
    <row r="31" customFormat="false" ht="15" hidden="false" customHeight="true" outlineLevel="0" collapsed="false">
      <c r="B31" s="5" t="n">
        <v>19</v>
      </c>
      <c r="C31" s="28" t="n">
        <f aca="false">'Cash Flow Waterfall'!V14</f>
        <v>2.57739901250209</v>
      </c>
      <c r="D31" s="28" t="n">
        <f aca="false">'Cash Flow Waterfall'!V27</f>
        <v>1.80417930875146</v>
      </c>
      <c r="E31" s="28" t="n">
        <f aca="false">'Cash Flow Waterfall'!V30</f>
        <v>27.0626896312719</v>
      </c>
    </row>
    <row r="32" customFormat="false" ht="15" hidden="false" customHeight="true" outlineLevel="0" collapsed="false">
      <c r="B32" s="5" t="n">
        <v>20</v>
      </c>
      <c r="C32" s="28" t="n">
        <f aca="false">'Cash Flow Waterfall'!W14</f>
        <v>2.32294420325493</v>
      </c>
      <c r="D32" s="28" t="n">
        <f aca="false">'Cash Flow Waterfall'!W27</f>
        <v>1.62606094227845</v>
      </c>
      <c r="E32" s="28" t="n">
        <f aca="false">'Cash Flow Waterfall'!W30</f>
        <v>24.3909141341768</v>
      </c>
    </row>
    <row r="34" customFormat="false" ht="15" hidden="false" customHeight="true" outlineLevel="0" collapsed="false">
      <c r="B34" s="26" t="s">
        <v>300</v>
      </c>
      <c r="C34" s="33" t="n">
        <f aca="false">IFERROR(IRR(C12:C32),"-")</f>
        <v>0.0106284318848048</v>
      </c>
      <c r="D34" s="33" t="n">
        <f aca="false">IFERROR(IRR(D12:D32),"-")</f>
        <v>-0.0292942271464451</v>
      </c>
      <c r="E34" s="33" t="n">
        <f aca="false">IFERROR(IRR(E12:E32),"-")</f>
        <v>0.0270662991635332</v>
      </c>
    </row>
    <row r="35" customFormat="false" ht="15" hidden="false" customHeight="true" outlineLevel="0" collapsed="false">
      <c r="B35" s="26" t="s">
        <v>301</v>
      </c>
      <c r="C35" s="34" t="n">
        <f aca="false">IFERROR(SUM(C13:C32)/-C12,"-")</f>
        <v>1.12805236391275</v>
      </c>
      <c r="D35" s="34" t="n">
        <f aca="false">IFERROR(SUM(D13:D32)/-D12,"-")</f>
        <v>0.392860589017027</v>
      </c>
      <c r="E35" s="34" t="n">
        <f aca="false">IFERROR(SUM(E13:E32)/-E12,"-")</f>
        <v>5.89290883525541</v>
      </c>
    </row>
    <row r="36" customFormat="false" ht="15" hidden="false" customHeight="true" outlineLevel="0" collapsed="false">
      <c r="B36" s="26" t="s">
        <v>302</v>
      </c>
      <c r="C36" s="23" t="n">
        <f aca="false">IFERROR(NPV(0.1,C13:C32)+C12,"-")</f>
        <v>-33.9697305013564</v>
      </c>
      <c r="D36" s="23" t="n">
        <f aca="false">IFERROR(NPV(0.1,D13:D32)+D12,"-")</f>
        <v>-19.3584245612752</v>
      </c>
      <c r="E36" s="23" t="n">
        <f aca="false">IFERROR(NPV(0.1,E13:E32)+E12,"-")</f>
        <v>-80.3763684191285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B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7" min="3" style="1" width="18"/>
    <col collapsed="false" customWidth="true" hidden="false" outlineLevel="0" max="8" min="8" style="1" width="3"/>
  </cols>
  <sheetData>
    <row r="1" customFormat="false" ht="17.25" hidden="false" customHeight="true" outlineLevel="0" collapsed="false">
      <c r="B1" s="8" t="s">
        <v>303</v>
      </c>
      <c r="C1" s="8"/>
      <c r="D1" s="8"/>
      <c r="E1" s="8"/>
      <c r="F1" s="8"/>
      <c r="G1" s="8"/>
    </row>
    <row r="3" customFormat="false" ht="15" hidden="false" customHeight="true" outlineLevel="0" collapsed="false">
      <c r="A3" s="9"/>
      <c r="B3" s="10" t="s">
        <v>304</v>
      </c>
      <c r="C3" s="9"/>
      <c r="D3" s="9"/>
      <c r="E3" s="9"/>
      <c r="F3" s="9"/>
      <c r="G3" s="9"/>
    </row>
    <row r="4" customFormat="false" ht="15" hidden="false" customHeight="true" outlineLevel="0" collapsed="false">
      <c r="B4" s="13" t="s">
        <v>55</v>
      </c>
      <c r="C4" s="13" t="s">
        <v>305</v>
      </c>
      <c r="D4" s="13" t="s">
        <v>306</v>
      </c>
      <c r="E4" s="13" t="s">
        <v>307</v>
      </c>
      <c r="F4" s="13" t="s">
        <v>308</v>
      </c>
      <c r="G4" s="13" t="s">
        <v>309</v>
      </c>
    </row>
    <row r="5" customFormat="false" ht="15" hidden="false" customHeight="true" outlineLevel="0" collapsed="false">
      <c r="B5" s="5" t="s">
        <v>310</v>
      </c>
      <c r="C5" s="35" t="n">
        <v>6</v>
      </c>
      <c r="D5" s="35" t="n">
        <v>7</v>
      </c>
      <c r="E5" s="35" t="n">
        <v>8</v>
      </c>
      <c r="F5" s="35" t="n">
        <v>7.5</v>
      </c>
      <c r="G5" s="35" t="n">
        <v>7</v>
      </c>
    </row>
    <row r="6" customFormat="false" ht="15" hidden="false" customHeight="true" outlineLevel="0" collapsed="false">
      <c r="B6" s="5" t="s">
        <v>311</v>
      </c>
      <c r="C6" s="28" t="n">
        <f aca="false">'Cash Flow Waterfall'!H7</f>
        <v>7.22757618132909</v>
      </c>
      <c r="D6" s="28" t="n">
        <f aca="false">'Cash Flow Waterfall'!J7</f>
        <v>7.51106815842338</v>
      </c>
      <c r="E6" s="28" t="n">
        <f aca="false">'Cash Flow Waterfall'!M7</f>
        <v>6.77113353683339</v>
      </c>
      <c r="F6" s="28" t="n">
        <f aca="false">'Cash Flow Waterfall'!O7</f>
        <v>6.24625197184113</v>
      </c>
      <c r="G6" s="28" t="n">
        <f aca="false">'Cash Flow Waterfall'!R7</f>
        <v>5.39332521289171</v>
      </c>
    </row>
    <row r="7" customFormat="false" ht="15" hidden="false" customHeight="true" outlineLevel="0" collapsed="false">
      <c r="B7" s="5" t="s">
        <v>312</v>
      </c>
      <c r="C7" s="21" t="n">
        <f aca="false">C5*C6</f>
        <v>43.3654570879745</v>
      </c>
      <c r="D7" s="21" t="n">
        <f aca="false">D5*D6</f>
        <v>52.5774771089637</v>
      </c>
      <c r="E7" s="21" t="n">
        <f aca="false">E5*E6</f>
        <v>54.1690682946671</v>
      </c>
      <c r="F7" s="21" t="n">
        <f aca="false">F5*F6</f>
        <v>46.8468897888084</v>
      </c>
      <c r="G7" s="21" t="n">
        <f aca="false">G5*G6</f>
        <v>37.7532764902419</v>
      </c>
    </row>
    <row r="8" customFormat="false" ht="15" hidden="false" customHeight="true" outlineLevel="0" collapsed="false">
      <c r="B8" s="5" t="s">
        <v>313</v>
      </c>
      <c r="C8" s="28" t="n">
        <f aca="false">-'Financing Structure'!H37</f>
        <v>-27.9018666666667</v>
      </c>
      <c r="D8" s="28" t="n">
        <f aca="false">-'Financing Structure'!J37</f>
        <v>-20.9264</v>
      </c>
      <c r="E8" s="28" t="n">
        <f aca="false">-'Financing Structure'!M37</f>
        <v>-10.4632</v>
      </c>
      <c r="F8" s="28" t="n">
        <f aca="false">-'Financing Structure'!O37</f>
        <v>-3.48773333333333</v>
      </c>
      <c r="G8" s="28" t="n">
        <f aca="false">-'Financing Structure'!R37</f>
        <v>-0</v>
      </c>
    </row>
    <row r="9" customFormat="false" ht="15" hidden="false" customHeight="true" outlineLevel="0" collapsed="false">
      <c r="B9" s="5" t="s">
        <v>314</v>
      </c>
      <c r="C9" s="21" t="n">
        <f aca="false">C7+C8</f>
        <v>15.4635904213078</v>
      </c>
      <c r="D9" s="21" t="n">
        <f aca="false">D7+D8</f>
        <v>31.6510771089637</v>
      </c>
      <c r="E9" s="21" t="n">
        <f aca="false">E7+E8</f>
        <v>43.7058682946671</v>
      </c>
      <c r="F9" s="21" t="n">
        <f aca="false">F7+F8</f>
        <v>43.3591564554751</v>
      </c>
      <c r="G9" s="21" t="n">
        <f aca="false">G7+G8</f>
        <v>37.7532764902419</v>
      </c>
    </row>
    <row r="10" customFormat="false" ht="15" hidden="false" customHeight="true" outlineLevel="0" collapsed="false">
      <c r="B10" s="5" t="s">
        <v>315</v>
      </c>
      <c r="C10" s="28" t="n">
        <f aca="false">C9*Assumptions!C34</f>
        <v>4.63907712639236</v>
      </c>
      <c r="D10" s="28" t="n">
        <f aca="false">D9*Assumptions!C34</f>
        <v>9.49532313268911</v>
      </c>
      <c r="E10" s="28" t="n">
        <f aca="false">E9*Assumptions!C34</f>
        <v>13.1117604884001</v>
      </c>
      <c r="F10" s="28" t="n">
        <f aca="false">F9*Assumptions!C34</f>
        <v>13.0077469366425</v>
      </c>
      <c r="G10" s="28" t="n">
        <f aca="false">G9*Assumptions!C34</f>
        <v>11.3259829470726</v>
      </c>
    </row>
    <row r="11" customFormat="false" ht="15" hidden="false" customHeight="true" outlineLevel="0" collapsed="false">
      <c r="B11" s="5" t="s">
        <v>316</v>
      </c>
      <c r="C11" s="28" t="n">
        <f aca="false">'Cash Flow Waterfall'!H31</f>
        <v>-150.171023364159</v>
      </c>
      <c r="D11" s="28" t="n">
        <f aca="false">'Cash Flow Waterfall'!J31</f>
        <v>-130.738740870712</v>
      </c>
      <c r="E11" s="28" t="n">
        <f aca="false">'Cash Flow Waterfall'!M31</f>
        <v>-139.388570802828</v>
      </c>
      <c r="F11" s="28" t="n">
        <f aca="false">'Cash Flow Waterfall'!O31</f>
        <v>-137.298412123632</v>
      </c>
      <c r="G11" s="28" t="n">
        <f aca="false">'Cash Flow Waterfall'!R31</f>
        <v>-59.1276246413625</v>
      </c>
    </row>
    <row r="12" customFormat="false" ht="15" hidden="false" customHeight="true" outlineLevel="0" collapsed="false">
      <c r="B12" s="5" t="s">
        <v>317</v>
      </c>
      <c r="C12" s="23" t="n">
        <f aca="false">C10+C11</f>
        <v>-145.531946237767</v>
      </c>
      <c r="D12" s="23" t="n">
        <f aca="false">D10+D11</f>
        <v>-121.243417738023</v>
      </c>
      <c r="E12" s="23" t="n">
        <f aca="false">E10+E11</f>
        <v>-126.276810314428</v>
      </c>
      <c r="F12" s="23" t="n">
        <f aca="false">F10+F11</f>
        <v>-124.290665186989</v>
      </c>
      <c r="G12" s="23" t="n">
        <f aca="false">G10+G11</f>
        <v>-47.8016416942899</v>
      </c>
    </row>
    <row r="15" customFormat="false" ht="15" hidden="false" customHeight="true" outlineLevel="0" collapsed="false">
      <c r="A15" s="9"/>
      <c r="B15" s="10" t="s">
        <v>318</v>
      </c>
      <c r="C15" s="9"/>
      <c r="D15" s="9"/>
      <c r="E15" s="9"/>
      <c r="F15" s="9"/>
      <c r="G15" s="9"/>
    </row>
    <row r="16" customFormat="false" ht="15" hidden="false" customHeight="true" outlineLevel="0" collapsed="false">
      <c r="B16" s="13"/>
      <c r="C16" s="13" t="s">
        <v>319</v>
      </c>
      <c r="D16" s="13" t="s">
        <v>320</v>
      </c>
      <c r="E16" s="13" t="s">
        <v>321</v>
      </c>
      <c r="F16" s="13" t="s">
        <v>322</v>
      </c>
      <c r="G16" s="13" t="s">
        <v>323</v>
      </c>
    </row>
    <row r="17" customFormat="false" ht="15" hidden="false" customHeight="true" outlineLevel="0" collapsed="false">
      <c r="B17" s="5" t="s">
        <v>324</v>
      </c>
      <c r="C17" s="14" t="n">
        <v>0.35</v>
      </c>
      <c r="D17" s="14" t="n">
        <v>0.25</v>
      </c>
      <c r="E17" s="14" t="n">
        <v>0.15</v>
      </c>
      <c r="F17" s="14" t="n">
        <v>0.15</v>
      </c>
      <c r="G17" s="14" t="n">
        <v>0.1</v>
      </c>
    </row>
    <row r="18" customFormat="false" ht="15" hidden="false" customHeight="true" outlineLevel="0" collapsed="false">
      <c r="B18" s="5" t="s">
        <v>325</v>
      </c>
      <c r="C18" s="17" t="n">
        <v>1</v>
      </c>
      <c r="D18" s="14" t="n">
        <v>0.9</v>
      </c>
      <c r="E18" s="17" t="n">
        <v>1.15</v>
      </c>
      <c r="F18" s="14" t="n">
        <v>0.85</v>
      </c>
      <c r="G18" s="14" t="n">
        <v>0.5</v>
      </c>
    </row>
    <row r="19" customFormat="false" ht="15" hidden="false" customHeight="true" outlineLevel="0" collapsed="false">
      <c r="B19" s="5" t="s">
        <v>326</v>
      </c>
      <c r="C19" s="14" t="n">
        <v>0.03</v>
      </c>
      <c r="D19" s="14" t="n">
        <v>0.02</v>
      </c>
      <c r="E19" s="14" t="n">
        <v>0.07</v>
      </c>
      <c r="F19" s="14" t="n">
        <v>0.025</v>
      </c>
      <c r="G19" s="14" t="n">
        <v>0.05</v>
      </c>
    </row>
    <row r="20" customFormat="false" ht="15" hidden="false" customHeight="true" outlineLevel="0" collapsed="false">
      <c r="B20" s="5" t="s">
        <v>327</v>
      </c>
      <c r="C20" s="36" t="n">
        <v>6</v>
      </c>
      <c r="D20" s="36" t="n">
        <v>4</v>
      </c>
      <c r="E20" s="36" t="n">
        <v>12</v>
      </c>
      <c r="F20" s="36" t="n">
        <v>3</v>
      </c>
      <c r="G20" s="36" t="n">
        <v>9</v>
      </c>
    </row>
    <row r="21" customFormat="false" ht="15" hidden="false" customHeight="true" outlineLevel="0" collapsed="false">
      <c r="B21" s="5" t="s">
        <v>328</v>
      </c>
      <c r="C21" s="14" t="n">
        <v>0.95</v>
      </c>
      <c r="D21" s="14" t="n">
        <v>0.9</v>
      </c>
      <c r="E21" s="14" t="n">
        <v>0.85</v>
      </c>
      <c r="F21" s="14" t="n">
        <v>0.92</v>
      </c>
      <c r="G21" s="14" t="n">
        <v>0.8</v>
      </c>
    </row>
    <row r="23" customFormat="false" ht="15" hidden="false" customHeight="true" outlineLevel="0" collapsed="false">
      <c r="A23" s="9"/>
      <c r="B23" s="10" t="s">
        <v>329</v>
      </c>
      <c r="C23" s="9"/>
      <c r="D23" s="9"/>
      <c r="E23" s="9"/>
      <c r="F23" s="9"/>
      <c r="G23" s="9"/>
    </row>
    <row r="24" customFormat="false" ht="15" hidden="false" customHeight="true" outlineLevel="0" collapsed="false">
      <c r="B24" s="7"/>
      <c r="C24" s="13" t="s">
        <v>319</v>
      </c>
      <c r="D24" s="13" t="s">
        <v>320</v>
      </c>
      <c r="E24" s="13" t="s">
        <v>321</v>
      </c>
      <c r="F24" s="13" t="s">
        <v>322</v>
      </c>
      <c r="G24" s="13" t="s">
        <v>323</v>
      </c>
    </row>
    <row r="25" customFormat="false" ht="15" hidden="false" customHeight="true" outlineLevel="0" collapsed="false">
      <c r="B25" s="5" t="s">
        <v>330</v>
      </c>
    </row>
    <row r="26" customFormat="false" ht="15" hidden="false" customHeight="true" outlineLevel="0" collapsed="false">
      <c r="B26" s="5" t="s">
        <v>331</v>
      </c>
    </row>
    <row r="27" customFormat="false" ht="15" hidden="false" customHeight="true" outlineLevel="0" collapsed="false">
      <c r="B27" s="7" t="s">
        <v>332</v>
      </c>
    </row>
    <row r="28" customFormat="false" ht="15" hidden="false" customHeight="true" outlineLevel="0" collapsed="false">
      <c r="B28" s="7" t="s">
        <v>333</v>
      </c>
    </row>
    <row r="29" customFormat="false" ht="15" hidden="false" customHeight="true" outlineLevel="0" collapsed="false">
      <c r="B29" s="7" t="s">
        <v>334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8" min="3" style="1" width="16"/>
    <col collapsed="false" customWidth="true" hidden="false" outlineLevel="0" max="9" min="9" style="1" width="3"/>
  </cols>
  <sheetData>
    <row r="1" customFormat="false" ht="17.25" hidden="false" customHeight="true" outlineLevel="0" collapsed="false">
      <c r="B1" s="8" t="s">
        <v>335</v>
      </c>
      <c r="C1" s="8"/>
      <c r="D1" s="8"/>
      <c r="E1" s="8"/>
      <c r="F1" s="8"/>
      <c r="G1" s="8"/>
      <c r="H1" s="8"/>
    </row>
    <row r="3" customFormat="false" ht="15" hidden="false" customHeight="true" outlineLevel="0" collapsed="false">
      <c r="A3" s="9"/>
      <c r="B3" s="10" t="s">
        <v>336</v>
      </c>
      <c r="C3" s="9"/>
      <c r="D3" s="9"/>
      <c r="E3" s="9"/>
      <c r="F3" s="9"/>
      <c r="G3" s="9"/>
      <c r="H3" s="9"/>
    </row>
    <row r="4" customFormat="false" ht="15" hidden="false" customHeight="true" outlineLevel="0" collapsed="false">
      <c r="B4" s="7" t="s">
        <v>337</v>
      </c>
      <c r="C4" s="37" t="n">
        <v>-0.1</v>
      </c>
      <c r="D4" s="37" t="n">
        <v>-0.05</v>
      </c>
      <c r="E4" s="37" t="n">
        <v>0</v>
      </c>
      <c r="F4" s="37" t="n">
        <v>0.05</v>
      </c>
      <c r="G4" s="37" t="n">
        <v>0.1</v>
      </c>
      <c r="H4" s="37" t="n">
        <v>0.15</v>
      </c>
    </row>
    <row r="5" customFormat="false" ht="15" hidden="false" customHeight="true" outlineLevel="0" collapsed="false">
      <c r="B5" s="7" t="s">
        <v>338</v>
      </c>
    </row>
    <row r="6" customFormat="false" ht="15" hidden="false" customHeight="true" outlineLevel="0" collapsed="false">
      <c r="B6" s="38" t="n">
        <v>0.35</v>
      </c>
      <c r="C6" s="39" t="s">
        <v>300</v>
      </c>
      <c r="D6" s="39" t="s">
        <v>300</v>
      </c>
      <c r="E6" s="39" t="s">
        <v>300</v>
      </c>
      <c r="F6" s="39" t="s">
        <v>300</v>
      </c>
      <c r="G6" s="39" t="s">
        <v>300</v>
      </c>
      <c r="H6" s="39" t="s">
        <v>300</v>
      </c>
    </row>
    <row r="7" customFormat="false" ht="15" hidden="false" customHeight="true" outlineLevel="0" collapsed="false">
      <c r="B7" s="38" t="n">
        <v>0.4</v>
      </c>
      <c r="C7" s="39" t="s">
        <v>300</v>
      </c>
      <c r="D7" s="39" t="s">
        <v>300</v>
      </c>
      <c r="E7" s="39" t="s">
        <v>300</v>
      </c>
      <c r="F7" s="39" t="s">
        <v>300</v>
      </c>
      <c r="G7" s="39" t="s">
        <v>300</v>
      </c>
      <c r="H7" s="39" t="s">
        <v>300</v>
      </c>
    </row>
    <row r="8" customFormat="false" ht="15" hidden="false" customHeight="true" outlineLevel="0" collapsed="false">
      <c r="B8" s="38" t="n">
        <v>0.45</v>
      </c>
      <c r="C8" s="39" t="s">
        <v>300</v>
      </c>
      <c r="D8" s="39" t="s">
        <v>300</v>
      </c>
      <c r="E8" s="39" t="s">
        <v>300</v>
      </c>
      <c r="F8" s="39" t="s">
        <v>300</v>
      </c>
      <c r="G8" s="39" t="s">
        <v>300</v>
      </c>
      <c r="H8" s="39" t="s">
        <v>300</v>
      </c>
    </row>
    <row r="9" customFormat="false" ht="15" hidden="false" customHeight="true" outlineLevel="0" collapsed="false">
      <c r="B9" s="38" t="n">
        <v>0.5</v>
      </c>
      <c r="C9" s="39" t="s">
        <v>300</v>
      </c>
      <c r="D9" s="39" t="s">
        <v>300</v>
      </c>
      <c r="E9" s="39" t="s">
        <v>300</v>
      </c>
      <c r="F9" s="39" t="s">
        <v>300</v>
      </c>
      <c r="G9" s="39" t="s">
        <v>300</v>
      </c>
      <c r="H9" s="39" t="s">
        <v>300</v>
      </c>
    </row>
    <row r="10" customFormat="false" ht="15" hidden="false" customHeight="true" outlineLevel="0" collapsed="false">
      <c r="B10" s="38" t="n">
        <v>0.55</v>
      </c>
      <c r="C10" s="39" t="s">
        <v>300</v>
      </c>
      <c r="D10" s="39" t="s">
        <v>300</v>
      </c>
      <c r="E10" s="39" t="s">
        <v>300</v>
      </c>
      <c r="F10" s="39" t="s">
        <v>300</v>
      </c>
      <c r="G10" s="39" t="s">
        <v>300</v>
      </c>
      <c r="H10" s="39" t="s">
        <v>300</v>
      </c>
    </row>
    <row r="11" customFormat="false" ht="15" hidden="false" customHeight="true" outlineLevel="0" collapsed="false">
      <c r="B11" s="38" t="n">
        <v>0.6</v>
      </c>
      <c r="C11" s="39" t="s">
        <v>300</v>
      </c>
      <c r="D11" s="39" t="s">
        <v>300</v>
      </c>
      <c r="E11" s="39" t="s">
        <v>300</v>
      </c>
      <c r="F11" s="39" t="s">
        <v>300</v>
      </c>
      <c r="G11" s="39" t="s">
        <v>300</v>
      </c>
      <c r="H11" s="39" t="s">
        <v>300</v>
      </c>
    </row>
    <row r="15" customFormat="false" ht="15" hidden="false" customHeight="true" outlineLevel="0" collapsed="false">
      <c r="A15" s="9"/>
      <c r="B15" s="10" t="s">
        <v>339</v>
      </c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B16" s="13" t="s">
        <v>340</v>
      </c>
      <c r="C16" s="13" t="s">
        <v>341</v>
      </c>
      <c r="D16" s="13" t="s">
        <v>342</v>
      </c>
      <c r="E16" s="13" t="s">
        <v>343</v>
      </c>
      <c r="F16" s="13" t="s">
        <v>344</v>
      </c>
      <c r="G16" s="13" t="s">
        <v>345</v>
      </c>
      <c r="H16" s="13" t="s">
        <v>346</v>
      </c>
    </row>
    <row r="17" customFormat="false" ht="15" hidden="false" customHeight="true" outlineLevel="0" collapsed="false">
      <c r="B17" s="5" t="s">
        <v>347</v>
      </c>
      <c r="C17" s="14" t="n">
        <v>-0.2</v>
      </c>
      <c r="D17" s="14" t="n">
        <v>0</v>
      </c>
      <c r="E17" s="14" t="n">
        <v>0.2</v>
      </c>
      <c r="F17" s="12" t="s">
        <v>348</v>
      </c>
      <c r="G17" s="12" t="s">
        <v>348</v>
      </c>
      <c r="H17" s="12" t="s">
        <v>348</v>
      </c>
    </row>
    <row r="18" customFormat="false" ht="15" hidden="false" customHeight="true" outlineLevel="0" collapsed="false">
      <c r="B18" s="5" t="s">
        <v>349</v>
      </c>
      <c r="C18" s="14" t="n">
        <v>0.02</v>
      </c>
      <c r="D18" s="14" t="n">
        <v>0.05</v>
      </c>
      <c r="E18" s="14" t="n">
        <v>0.1</v>
      </c>
      <c r="F18" s="12" t="s">
        <v>348</v>
      </c>
      <c r="G18" s="12" t="s">
        <v>348</v>
      </c>
      <c r="H18" s="12" t="s">
        <v>348</v>
      </c>
    </row>
    <row r="19" customFormat="false" ht="15" hidden="false" customHeight="true" outlineLevel="0" collapsed="false">
      <c r="B19" s="5" t="s">
        <v>350</v>
      </c>
      <c r="C19" s="14" t="n">
        <v>0.35</v>
      </c>
      <c r="D19" s="14" t="n">
        <v>0.45</v>
      </c>
      <c r="E19" s="14" t="n">
        <v>0.55</v>
      </c>
      <c r="F19" s="12" t="s">
        <v>348</v>
      </c>
      <c r="G19" s="12" t="s">
        <v>348</v>
      </c>
      <c r="H19" s="12" t="s">
        <v>348</v>
      </c>
    </row>
    <row r="20" customFormat="false" ht="15" hidden="false" customHeight="true" outlineLevel="0" collapsed="false">
      <c r="B20" s="5" t="s">
        <v>351</v>
      </c>
      <c r="C20" s="14" t="n">
        <v>0.7</v>
      </c>
      <c r="D20" s="14" t="n">
        <v>0.85</v>
      </c>
      <c r="E20" s="14" t="n">
        <v>0.95</v>
      </c>
      <c r="F20" s="12" t="s">
        <v>348</v>
      </c>
      <c r="G20" s="12" t="s">
        <v>348</v>
      </c>
      <c r="H20" s="12" t="s">
        <v>348</v>
      </c>
    </row>
    <row r="21" customFormat="false" ht="15" hidden="false" customHeight="true" outlineLevel="0" collapsed="false">
      <c r="B21" s="5" t="s">
        <v>352</v>
      </c>
      <c r="C21" s="14" t="n">
        <v>0.07</v>
      </c>
      <c r="D21" s="14" t="n">
        <v>0.085</v>
      </c>
      <c r="E21" s="14" t="n">
        <v>0.1</v>
      </c>
      <c r="F21" s="12" t="s">
        <v>348</v>
      </c>
      <c r="G21" s="12" t="s">
        <v>348</v>
      </c>
      <c r="H21" s="12" t="s">
        <v>348</v>
      </c>
    </row>
    <row r="22" customFormat="false" ht="15" hidden="false" customHeight="true" outlineLevel="0" collapsed="false">
      <c r="B22" s="5" t="s">
        <v>353</v>
      </c>
      <c r="C22" s="17" t="n">
        <v>0</v>
      </c>
      <c r="D22" s="17" t="n">
        <v>0</v>
      </c>
      <c r="E22" s="17" t="n">
        <v>0.2</v>
      </c>
      <c r="F22" s="12" t="s">
        <v>348</v>
      </c>
      <c r="G22" s="12" t="s">
        <v>348</v>
      </c>
      <c r="H22" s="12" t="s">
        <v>348</v>
      </c>
    </row>
    <row r="23" customFormat="false" ht="15" hidden="false" customHeight="true" outlineLevel="0" collapsed="false">
      <c r="B23" s="5" t="s">
        <v>354</v>
      </c>
      <c r="C23" s="14" t="n">
        <v>0.25</v>
      </c>
      <c r="D23" s="14" t="n">
        <v>0.3</v>
      </c>
      <c r="E23" s="14" t="n">
        <v>0.35</v>
      </c>
      <c r="F23" s="12" t="s">
        <v>348</v>
      </c>
      <c r="G23" s="12" t="s">
        <v>348</v>
      </c>
      <c r="H23" s="12" t="s">
        <v>348</v>
      </c>
    </row>
    <row r="24" customFormat="false" ht="15" hidden="false" customHeight="true" outlineLevel="0" collapsed="false">
      <c r="B24" s="5" t="s">
        <v>355</v>
      </c>
      <c r="C24" s="17" t="n">
        <v>5</v>
      </c>
      <c r="D24" s="17" t="n">
        <v>7</v>
      </c>
      <c r="E24" s="17" t="n">
        <v>9</v>
      </c>
      <c r="F24" s="12" t="s">
        <v>348</v>
      </c>
      <c r="G24" s="12" t="s">
        <v>348</v>
      </c>
      <c r="H24" s="12" t="s">
        <v>348</v>
      </c>
    </row>
    <row r="27" customFormat="false" ht="15" hidden="false" customHeight="true" outlineLevel="0" collapsed="false">
      <c r="A27" s="9"/>
      <c r="B27" s="10" t="s">
        <v>356</v>
      </c>
      <c r="C27" s="9"/>
      <c r="D27" s="9"/>
      <c r="E27" s="9"/>
      <c r="F27" s="9"/>
      <c r="G27" s="9"/>
      <c r="H27" s="9"/>
    </row>
    <row r="28" customFormat="false" ht="15" hidden="false" customHeight="true" outlineLevel="0" collapsed="false">
      <c r="B28" s="13" t="s">
        <v>357</v>
      </c>
      <c r="C28" s="13" t="s">
        <v>358</v>
      </c>
      <c r="D28" s="13" t="s">
        <v>359</v>
      </c>
      <c r="E28" s="13" t="s">
        <v>332</v>
      </c>
      <c r="F28" s="13" t="s">
        <v>360</v>
      </c>
      <c r="G28" s="13" t="s">
        <v>361</v>
      </c>
    </row>
    <row r="29" customFormat="false" ht="15" hidden="false" customHeight="true" outlineLevel="0" collapsed="false">
      <c r="B29" s="5" t="s">
        <v>56</v>
      </c>
      <c r="C29" s="40" t="s">
        <v>362</v>
      </c>
      <c r="D29" s="40" t="s">
        <v>362</v>
      </c>
      <c r="E29" s="40" t="s">
        <v>362</v>
      </c>
      <c r="F29" s="40" t="s">
        <v>362</v>
      </c>
      <c r="G29" s="40" t="s">
        <v>362</v>
      </c>
    </row>
    <row r="30" customFormat="false" ht="15" hidden="false" customHeight="true" outlineLevel="0" collapsed="false">
      <c r="B30" s="5" t="s">
        <v>363</v>
      </c>
      <c r="C30" s="40" t="s">
        <v>362</v>
      </c>
      <c r="D30" s="40" t="s">
        <v>362</v>
      </c>
      <c r="E30" s="40" t="s">
        <v>362</v>
      </c>
      <c r="F30" s="40" t="s">
        <v>362</v>
      </c>
      <c r="G30" s="40" t="s">
        <v>362</v>
      </c>
    </row>
    <row r="31" customFormat="false" ht="15" hidden="false" customHeight="true" outlineLevel="0" collapsed="false">
      <c r="B31" s="5" t="s">
        <v>364</v>
      </c>
      <c r="C31" s="40" t="s">
        <v>362</v>
      </c>
      <c r="D31" s="40" t="s">
        <v>362</v>
      </c>
      <c r="E31" s="40" t="s">
        <v>362</v>
      </c>
      <c r="F31" s="40" t="s">
        <v>362</v>
      </c>
      <c r="G31" s="40" t="s">
        <v>362</v>
      </c>
    </row>
    <row r="32" customFormat="false" ht="15" hidden="false" customHeight="true" outlineLevel="0" collapsed="false">
      <c r="B32" s="5" t="s">
        <v>365</v>
      </c>
      <c r="C32" s="40" t="s">
        <v>362</v>
      </c>
      <c r="D32" s="40" t="s">
        <v>362</v>
      </c>
      <c r="E32" s="40" t="s">
        <v>362</v>
      </c>
      <c r="F32" s="40" t="s">
        <v>362</v>
      </c>
      <c r="G32" s="40" t="s">
        <v>362</v>
      </c>
    </row>
    <row r="33" customFormat="false" ht="15" hidden="false" customHeight="true" outlineLevel="0" collapsed="false">
      <c r="B33" s="5" t="s">
        <v>366</v>
      </c>
      <c r="C33" s="40" t="s">
        <v>362</v>
      </c>
      <c r="D33" s="40" t="s">
        <v>362</v>
      </c>
      <c r="E33" s="40" t="s">
        <v>362</v>
      </c>
      <c r="F33" s="40" t="s">
        <v>362</v>
      </c>
      <c r="G33" s="40" t="s">
        <v>362</v>
      </c>
    </row>
    <row r="34" customFormat="false" ht="15" hidden="false" customHeight="true" outlineLevel="0" collapsed="false">
      <c r="B34" s="5" t="s">
        <v>367</v>
      </c>
      <c r="C34" s="40" t="s">
        <v>362</v>
      </c>
      <c r="D34" s="40" t="s">
        <v>362</v>
      </c>
      <c r="E34" s="40" t="s">
        <v>362</v>
      </c>
      <c r="F34" s="40" t="s">
        <v>362</v>
      </c>
      <c r="G34" s="40" t="s">
        <v>362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6" min="3" style="1" width="18"/>
    <col collapsed="false" customWidth="true" hidden="false" outlineLevel="0" max="7" min="7" style="1" width="3"/>
  </cols>
  <sheetData>
    <row r="1" customFormat="false" ht="17.25" hidden="false" customHeight="true" outlineLevel="0" collapsed="false">
      <c r="B1" s="8" t="s">
        <v>368</v>
      </c>
      <c r="C1" s="8"/>
      <c r="D1" s="8"/>
      <c r="E1" s="8"/>
      <c r="F1" s="8"/>
    </row>
    <row r="3" customFormat="false" ht="15" hidden="false" customHeight="true" outlineLevel="0" collapsed="false">
      <c r="A3" s="9"/>
      <c r="B3" s="10" t="s">
        <v>369</v>
      </c>
      <c r="C3" s="9"/>
      <c r="D3" s="9"/>
      <c r="E3" s="9"/>
      <c r="F3" s="9"/>
    </row>
    <row r="4" customFormat="false" ht="15" hidden="false" customHeight="true" outlineLevel="0" collapsed="false">
      <c r="B4" s="13" t="s">
        <v>370</v>
      </c>
      <c r="C4" s="13" t="s">
        <v>371</v>
      </c>
      <c r="D4" s="13" t="s">
        <v>372</v>
      </c>
      <c r="E4" s="13" t="s">
        <v>373</v>
      </c>
      <c r="F4" s="13" t="s">
        <v>374</v>
      </c>
    </row>
    <row r="5" customFormat="false" ht="15" hidden="false" customHeight="true" outlineLevel="0" collapsed="false">
      <c r="B5" s="5" t="s">
        <v>375</v>
      </c>
      <c r="C5" s="41" t="n">
        <v>500</v>
      </c>
      <c r="D5" s="15" t="n">
        <v>250</v>
      </c>
      <c r="E5" s="15" t="n">
        <v>0</v>
      </c>
      <c r="F5" s="12" t="s">
        <v>376</v>
      </c>
    </row>
    <row r="6" customFormat="false" ht="15" hidden="false" customHeight="true" outlineLevel="0" collapsed="false">
      <c r="B6" s="5" t="s">
        <v>377</v>
      </c>
      <c r="C6" s="38" t="n">
        <v>0.4</v>
      </c>
      <c r="D6" s="14" t="n">
        <v>0.25</v>
      </c>
      <c r="E6" s="14" t="n">
        <v>0</v>
      </c>
      <c r="F6" s="12" t="s">
        <v>378</v>
      </c>
    </row>
    <row r="7" customFormat="false" ht="15" hidden="false" customHeight="true" outlineLevel="0" collapsed="false">
      <c r="B7" s="5" t="s">
        <v>379</v>
      </c>
      <c r="C7" s="41" t="n">
        <v>15000</v>
      </c>
      <c r="D7" s="15" t="n">
        <v>5000</v>
      </c>
      <c r="E7" s="15" t="n">
        <v>0</v>
      </c>
      <c r="F7" s="12" t="s">
        <v>380</v>
      </c>
    </row>
    <row r="8" customFormat="false" ht="15" hidden="false" customHeight="true" outlineLevel="0" collapsed="false">
      <c r="B8" s="5" t="s">
        <v>381</v>
      </c>
      <c r="C8" s="41" t="n">
        <v>5000</v>
      </c>
      <c r="D8" s="15" t="n">
        <v>2000</v>
      </c>
      <c r="E8" s="15" t="n">
        <v>0</v>
      </c>
      <c r="F8" s="12" t="s">
        <v>382</v>
      </c>
    </row>
    <row r="9" customFormat="false" ht="15" hidden="false" customHeight="true" outlineLevel="0" collapsed="false">
      <c r="B9" s="5" t="s">
        <v>383</v>
      </c>
      <c r="C9" s="38" t="n">
        <v>0.3</v>
      </c>
      <c r="D9" s="14" t="n">
        <v>0.2</v>
      </c>
      <c r="E9" s="14" t="n">
        <v>0</v>
      </c>
      <c r="F9" s="12" t="s">
        <v>384</v>
      </c>
    </row>
    <row r="10" customFormat="false" ht="15" hidden="false" customHeight="true" outlineLevel="0" collapsed="false">
      <c r="B10" s="5" t="s">
        <v>385</v>
      </c>
      <c r="C10" s="41" t="n">
        <v>200</v>
      </c>
      <c r="D10" s="15" t="n">
        <v>100</v>
      </c>
      <c r="E10" s="15" t="n">
        <v>0</v>
      </c>
      <c r="F10" s="12" t="s">
        <v>386</v>
      </c>
    </row>
    <row r="11" customFormat="false" ht="15" hidden="false" customHeight="true" outlineLevel="0" collapsed="false">
      <c r="B11" s="5" t="s">
        <v>387</v>
      </c>
      <c r="C11" s="38" t="n">
        <v>0.25</v>
      </c>
      <c r="D11" s="14" t="n">
        <v>0.1</v>
      </c>
      <c r="E11" s="14" t="n">
        <v>0</v>
      </c>
      <c r="F11" s="12" t="s">
        <v>388</v>
      </c>
    </row>
    <row r="12" customFormat="false" ht="15" hidden="false" customHeight="true" outlineLevel="0" collapsed="false">
      <c r="B12" s="5" t="s">
        <v>389</v>
      </c>
      <c r="C12" s="42" t="n">
        <v>2</v>
      </c>
      <c r="D12" s="16" t="n">
        <v>1</v>
      </c>
      <c r="E12" s="16" t="n">
        <v>0</v>
      </c>
      <c r="F12" s="12" t="s">
        <v>390</v>
      </c>
    </row>
    <row r="13" customFormat="false" ht="15" hidden="false" customHeight="true" outlineLevel="0" collapsed="false">
      <c r="B13" s="5" t="s">
        <v>391</v>
      </c>
      <c r="C13" s="41" t="n">
        <v>10000</v>
      </c>
      <c r="D13" s="15" t="n">
        <v>3000</v>
      </c>
      <c r="E13" s="15" t="n">
        <v>0</v>
      </c>
      <c r="F13" s="12" t="s">
        <v>392</v>
      </c>
    </row>
    <row r="14" customFormat="false" ht="15" hidden="false" customHeight="true" outlineLevel="0" collapsed="false">
      <c r="B14" s="5" t="s">
        <v>393</v>
      </c>
      <c r="C14" s="41" t="n">
        <v>50</v>
      </c>
      <c r="D14" s="15" t="n">
        <v>20</v>
      </c>
      <c r="E14" s="15" t="n">
        <v>0</v>
      </c>
      <c r="F14" s="12" t="s">
        <v>394</v>
      </c>
    </row>
    <row r="17" customFormat="false" ht="15" hidden="false" customHeight="true" outlineLevel="0" collapsed="false">
      <c r="A17" s="9"/>
      <c r="B17" s="10" t="s">
        <v>395</v>
      </c>
      <c r="C17" s="9"/>
      <c r="D17" s="9"/>
      <c r="E17" s="9"/>
      <c r="F17" s="9"/>
    </row>
    <row r="18" customFormat="false" ht="15" hidden="false" customHeight="true" outlineLevel="0" collapsed="false">
      <c r="B18" s="5" t="s">
        <v>396</v>
      </c>
      <c r="C18" s="38" t="n">
        <v>0.2</v>
      </c>
    </row>
    <row r="19" customFormat="false" ht="15" hidden="false" customHeight="true" outlineLevel="0" collapsed="false">
      <c r="B19" s="5" t="s">
        <v>397</v>
      </c>
      <c r="C19" s="38" t="n">
        <v>0.05</v>
      </c>
    </row>
    <row r="20" customFormat="false" ht="15" hidden="false" customHeight="true" outlineLevel="0" collapsed="false">
      <c r="B20" s="5" t="s">
        <v>398</v>
      </c>
      <c r="C20" s="38" t="n">
        <v>0</v>
      </c>
    </row>
    <row r="21" customFormat="false" ht="15" hidden="false" customHeight="true" outlineLevel="0" collapsed="false">
      <c r="B21" s="5" t="s">
        <v>399</v>
      </c>
      <c r="C21" s="43" t="n">
        <v>0.2</v>
      </c>
    </row>
    <row r="22" customFormat="false" ht="15" hidden="false" customHeight="true" outlineLevel="0" collapsed="false">
      <c r="B22" s="5" t="s">
        <v>400</v>
      </c>
      <c r="C22" s="43" t="n">
        <v>0.05</v>
      </c>
    </row>
    <row r="23" customFormat="false" ht="15" hidden="false" customHeight="true" outlineLevel="0" collapsed="false">
      <c r="C23" s="1" t="n">
        <v>0</v>
      </c>
    </row>
    <row r="24" customFormat="false" ht="15" hidden="false" customHeight="true" outlineLevel="0" collapsed="false">
      <c r="C24" s="1" t="n">
        <f aca="false">IF(C23&gt;0,C21*(1-C22*(1-C23)),C21)</f>
        <v>0.2</v>
      </c>
    </row>
    <row r="25" customFormat="false" ht="15" hidden="false" customHeight="true" outlineLevel="0" collapsed="false">
      <c r="A25" s="9"/>
      <c r="B25" s="10" t="s">
        <v>401</v>
      </c>
      <c r="C25" s="9" t="n">
        <f aca="false">(C21-C24)*100</f>
        <v>0</v>
      </c>
      <c r="D25" s="9"/>
      <c r="E25" s="9"/>
      <c r="F25" s="9"/>
    </row>
    <row r="26" customFormat="false" ht="15" hidden="false" customHeight="true" outlineLevel="0" collapsed="false">
      <c r="B26" s="13" t="s">
        <v>402</v>
      </c>
      <c r="C26" s="13" t="s">
        <v>403</v>
      </c>
    </row>
    <row r="27" customFormat="false" ht="15" hidden="false" customHeight="true" outlineLevel="0" collapsed="false">
      <c r="B27" s="5" t="s">
        <v>404</v>
      </c>
      <c r="C27" s="36" t="s">
        <v>405</v>
      </c>
    </row>
    <row r="28" customFormat="false" ht="15" hidden="false" customHeight="true" outlineLevel="0" collapsed="false">
      <c r="B28" s="5" t="s">
        <v>406</v>
      </c>
      <c r="C28" s="36" t="s">
        <v>405</v>
      </c>
    </row>
    <row r="29" customFormat="false" ht="15" hidden="false" customHeight="true" outlineLevel="0" collapsed="false">
      <c r="B29" s="5" t="s">
        <v>407</v>
      </c>
      <c r="C29" s="36" t="s">
        <v>405</v>
      </c>
    </row>
    <row r="30" customFormat="false" ht="15" hidden="false" customHeight="true" outlineLevel="0" collapsed="false">
      <c r="B30" s="5" t="s">
        <v>408</v>
      </c>
      <c r="C30" s="36" t="s">
        <v>409</v>
      </c>
    </row>
    <row r="31" customFormat="false" ht="15" hidden="false" customHeight="true" outlineLevel="0" collapsed="false">
      <c r="B31" s="5" t="s">
        <v>410</v>
      </c>
      <c r="C31" s="36" t="s">
        <v>409</v>
      </c>
    </row>
    <row r="32" customFormat="false" ht="15" hidden="false" customHeight="true" outlineLevel="0" collapsed="false">
      <c r="B32" s="5" t="s">
        <v>411</v>
      </c>
      <c r="C32" s="36" t="s">
        <v>409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2026-02-26T18:06:21Z</dcterms:created>
  <dc:creator>openpyxl</dc:creator>
  <dc:description/>
  <dc:language>en-US</dc:language>
  <cp:lastModifiedBy/>
  <dcterms:modified xsi:type="dcterms:W3CDTF">2026-02-26T18:51:30Z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